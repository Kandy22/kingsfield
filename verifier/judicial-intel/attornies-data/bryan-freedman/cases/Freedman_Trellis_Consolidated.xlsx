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ll Cases" sheetId="2" state="visible" r:id="rId4"/>
    <sheet name="Judge Summary" sheetId="3" state="visible" r:id="rId5"/>
    <sheet name="Disposition Summary" sheetId="4" state="visible" r:id="rId6"/>
    <sheet name="Liberty BC606196" sheetId="5" state="visible" r:id="rId7"/>
  </sheets>
  <definedNames>
    <definedName function="false" hidden="true" localSheetId="1" name="_xlnm._FilterDatabase" vbProcedure="false">'All Cases'!$A$1:$K$323</definedName>
    <definedName function="false" hidden="true" localSheetId="2" name="_xlnm._FilterDatabase" vbProcedure="false">'Judge Summary'!$A$3:$G$162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<sst xmlns="http://schemas.openxmlformats.org/spreadsheetml/2006/main" count="3786" uniqueCount="1619">
  <si>
    <t xml:space="preserve">Bryan J. Freedman (SBN 151990) — Consolidated Trellis Data</t>
  </si>
  <si>
    <t xml:space="preserve">What this is</t>
  </si>
  <si>
    <t xml:space="preserve">One consolidated workbook built from 11 Trellis exports (8 scraped case-list pages, 2 xlsx, 1 csv) plus the BC606196 docket PDF.</t>
  </si>
  <si>
    <t xml:space="preserve">Unique cases</t>
  </si>
  <si>
    <t xml:space="preserve">322 after de-duplicating on case number across all source files (470 raw rows ingested).</t>
  </si>
  <si>
    <t xml:space="preserve">TABS</t>
  </si>
  <si>
    <t xml:space="preserve">All Cases</t>
  </si>
  <si>
    <t xml:space="preserve">Every unique case: name, no., filed date, judge, Trellis disposition, an Outcome Bucket, practice area, matter type, court, source file, URL.</t>
  </si>
  <si>
    <t xml:space="preserve">Judge Summary</t>
  </si>
  <si>
    <t xml:space="preserve">Per-judge appearance counts + disposition breakdown (formulas count live off the All Cases tab).</t>
  </si>
  <si>
    <t xml:space="preserve">Disposition Summary</t>
  </si>
  <si>
    <t xml:space="preserve">Counts by raw Trellis disposition and by Outcome Bucket.</t>
  </si>
  <si>
    <t xml:space="preserve">Liberty BC606196</t>
  </si>
  <si>
    <t xml:space="preserve">The one case you pulled a full 130-pg docket for — case facts + party-level dispositions.</t>
  </si>
  <si>
    <t xml:space="preserve">READ THIS — what the data can and cannot tell you</t>
  </si>
  <si>
    <t xml:space="preserve">Appearance counts are reliable.</t>
  </si>
  <si>
    <t xml:space="preserve">Who Freedman/Freedman+Taitelman has been in front of, and how often, is solid.</t>
  </si>
  <si>
    <t xml:space="preserve">Win/loss is NOT in this data.</t>
  </si>
  <si>
    <t xml:space="preserve">The only outcome field is case disposition. "Dismissal" is directionally ambiguous (settlement, voluntary, defense win, or plaintiff loss) and which side Freedman was on is not encoded.</t>
  </si>
  <si>
    <t xml:space="preserve">Counts include the firm collections docket.</t>
  </si>
  <si>
    <t xml:space="preserve">Many rows are Freedman+Taitelman / Banco Popular / Dreier Stein collections matters where the firm was a party. There "Default Judgment" = the firm collecting a debt, not courtroom advocacy. This inflates several judges.</t>
  </si>
  <si>
    <t xml:space="preserve">On your "8–12 times" recollection</t>
  </si>
  <si>
    <t xml:space="preserve">In the deduped data, only Maureen Duffy-Lewis reaches that band (11). Then a tight cluster of four judges at 7 (Hiroshige, Wiley, Linfield, Green). Trellis’s own profile likely shows higher per-judge numbers because it counts non-deduped appearances/rulings and the firm-as-party docket.</t>
  </si>
  <si>
    <t xml:space="preserve">Real merits signal</t>
  </si>
  <si>
    <t xml:space="preserve">Lives at the motion/ruling level (e.g., the BC606196 docket), not in these summary cards.</t>
  </si>
  <si>
    <t xml:space="preserve">Case Name</t>
  </si>
  <si>
    <t xml:space="preserve">Case No</t>
  </si>
  <si>
    <t xml:space="preserve">Filed</t>
  </si>
  <si>
    <t xml:space="preserve">Judge</t>
  </si>
  <si>
    <t xml:space="preserve">Disposition (Trellis)</t>
  </si>
  <si>
    <t xml:space="preserve">Outcome Bucket</t>
  </si>
  <si>
    <t xml:space="preserve">Practice Area</t>
  </si>
  <si>
    <t xml:space="preserve">Matter Type</t>
  </si>
  <si>
    <t xml:space="preserve">Court</t>
  </si>
  <si>
    <t xml:space="preserve">Source File</t>
  </si>
  <si>
    <t xml:space="preserve">URL</t>
  </si>
  <si>
    <t xml:space="preserve">MARK YOUSSEF VS KELLY MULHERN ET AL</t>
  </si>
  <si>
    <t xml:space="preserve">BC427361</t>
  </si>
  <si>
    <t xml:space="preserve">Dec 04, 2009</t>
  </si>
  <si>
    <t xml:space="preserve">Hon. Abraham Khan</t>
  </si>
  <si>
    <t xml:space="preserve">Dismissal</t>
  </si>
  <si>
    <t xml:space="preserve">Dismissed/Withdrawn</t>
  </si>
  <si>
    <t xml:space="preserve">Stanley Mosk Courthouse</t>
  </si>
  <si>
    <t xml:space="preserve">clean_trellis__10__judges-6.xlsx</t>
  </si>
  <si>
    <t xml:space="preserve">https://trellis.law/case/bc427361/mark-youssef-vs-kelly-mulhern-et-al</t>
  </si>
  <si>
    <t xml:space="preserve">DREIER STEIN KAHAN BROWNE WOODS GEORGE LLP ET AL VS IMAGE EN</t>
  </si>
  <si>
    <t xml:space="preserve">BC432833</t>
  </si>
  <si>
    <t xml:space="preserve">Feb 26, 2010</t>
  </si>
  <si>
    <t xml:space="preserve">Commercial</t>
  </si>
  <si>
    <t xml:space="preserve">Breach of Contract</t>
  </si>
  <si>
    <t xml:space="preserve">clean_trellis__10__judges-2.xlsx</t>
  </si>
  <si>
    <t xml:space="preserve">https://trellis.law/case/bc432833/dreier-stein-kahan-browne-woods-george-llp-et-al-vs-image-en</t>
  </si>
  <si>
    <t xml:space="preserve">KHALIL RAFATI VS DOES 1 THROUGH 25</t>
  </si>
  <si>
    <t xml:space="preserve">BC509261</t>
  </si>
  <si>
    <t xml:space="preserve">May 17, 2013</t>
  </si>
  <si>
    <t xml:space="preserve">Torts</t>
  </si>
  <si>
    <t xml:space="preserve">Slander,Libel,Defamation</t>
  </si>
  <si>
    <t xml:space="preserve">clean_trellis__10__judges-1.xlsx</t>
  </si>
  <si>
    <t xml:space="preserve">https://trellis.law/case/bc509261/khalil-rafati-vs-does-1-through-25</t>
  </si>
  <si>
    <t xml:space="preserve">EH BUTLAND DEVELOPMENT CORP VS JANSS COURT ASSOCIATES LLC</t>
  </si>
  <si>
    <t xml:space="preserve">BC263303</t>
  </si>
  <si>
    <t xml:space="preserve">Dec 10, 2001</t>
  </si>
  <si>
    <t xml:space="preserve">Hon. Alban I. Niles</t>
  </si>
  <si>
    <t xml:space="preserve">Creditor</t>
  </si>
  <si>
    <t xml:space="preserve">Collections</t>
  </si>
  <si>
    <t xml:space="preserve">trellis.csv</t>
  </si>
  <si>
    <t xml:space="preserve">https://trellis.law/case/bc263303/eh-butland-development-corp-vs-janss-court-associates-llc</t>
  </si>
  <si>
    <t xml:space="preserve">RORY POSIN VS BENJAMIN BELLET ET AL</t>
  </si>
  <si>
    <t xml:space="preserve">BC490353</t>
  </si>
  <si>
    <t xml:space="preserve">Aug 15, 2012</t>
  </si>
  <si>
    <t xml:space="preserve">Hon. Amy D. Hogue</t>
  </si>
  <si>
    <t xml:space="preserve">Securities</t>
  </si>
  <si>
    <t xml:space="preserve">Business Governance</t>
  </si>
  <si>
    <t xml:space="preserve">https://trellis.law/case/bc490353/rory-posin-vs-benjamin-bellet-et-al</t>
  </si>
  <si>
    <t xml:space="preserve">BANCO POPULAR NORTH AMERICA VS R &amp; J LEGAL SERVICES INC ET A</t>
  </si>
  <si>
    <t xml:space="preserve">BC396705</t>
  </si>
  <si>
    <t xml:space="preserve">Aug 20, 2008</t>
  </si>
  <si>
    <t xml:space="preserve">Default Judgment</t>
  </si>
  <si>
    <t xml:space="preserve">https://trellis.law/case/bc396705/banco-popular-north-america-vs-r-j-legal-services-inc-et-a</t>
  </si>
  <si>
    <t xml:space="preserve">BANCO POPULAR NORTH AMERICA VS DAELIM INSURANCE AGENCY INC</t>
  </si>
  <si>
    <t xml:space="preserve">BC398874</t>
  </si>
  <si>
    <t xml:space="preserve">Jan 09, 2008</t>
  </si>
  <si>
    <t xml:space="preserve">https://trellis.law/case/bc398874/banco-popular-north-america-vs-daelim-insurance-agency-inc</t>
  </si>
  <si>
    <t xml:space="preserve">DREIER STEIN KAHAN BROWNE WOODS GEORGE LLP VS SEOUL NATIONAL</t>
  </si>
  <si>
    <t xml:space="preserve">BC433001</t>
  </si>
  <si>
    <t xml:space="preserve">Mar 03, 2010</t>
  </si>
  <si>
    <t xml:space="preserve">https://trellis.law/case/bc433001/dreier-stein-kahan-browne-woods-george-llp-vs-seoul-national</t>
  </si>
  <si>
    <t xml:space="preserve">DREIER STEIN KAHAN BROWNE WOODS GEORGE LLP VS LIOLIOS GROUP</t>
  </si>
  <si>
    <t xml:space="preserve">BC434484</t>
  </si>
  <si>
    <t xml:space="preserve">Mar 24, 2010</t>
  </si>
  <si>
    <t xml:space="preserve">https://trellis.law/case/bc434484/dreier-stein-kahan-browne-woods-george-llp-vs-liolios-group</t>
  </si>
  <si>
    <t xml:space="preserve">ST. ANDREWS SECOND HOME LLC, A DELAWARE LIMITED LIABILITY COMPANY VS SECOND HOME US INC., A DELAWARE CORPORATION, ET AL.</t>
  </si>
  <si>
    <t xml:space="preserve">23STCV09293</t>
  </si>
  <si>
    <t xml:space="preserve">Apr 26, 2023</t>
  </si>
  <si>
    <t xml:space="preserve">Hon. Armen Tamzarian</t>
  </si>
  <si>
    <t xml:space="preserve">Active</t>
  </si>
  <si>
    <t xml:space="preserve">Property</t>
  </si>
  <si>
    <t xml:space="preserve">Unlawful Detainer</t>
  </si>
  <si>
    <t xml:space="preserve">Stanley Mosk</t>
  </si>
  <si>
    <t xml:space="preserve">trellis.xlsx</t>
  </si>
  <si>
    <t xml:space="preserve">https://trellis.law/case/23stcv09293/st-andrews-second-home-llc-a-delaware-limited-liability-company-vs-second-home-us-inc-a-delaware-corporation-et-al</t>
  </si>
  <si>
    <t xml:space="preserve">REGENCY SAVINGS BANK FSB VS PHILIP A ROSTER</t>
  </si>
  <si>
    <t xml:space="preserve">BC191770</t>
  </si>
  <si>
    <t xml:space="preserve">May 28, 1998</t>
  </si>
  <si>
    <t xml:space="preserve">Hon. Arnold Levin</t>
  </si>
  <si>
    <t xml:space="preserve">https://trellis.law/case/bc191770/regency-savings-bank-fsb-vs-philip-a-roster</t>
  </si>
  <si>
    <t xml:space="preserve">OLD CHURCH LLC ET AL VS FAR EAST NATIONAL BANK</t>
  </si>
  <si>
    <t xml:space="preserve">BC486656</t>
  </si>
  <si>
    <t xml:space="preserve">Jun 14, 2012</t>
  </si>
  <si>
    <t xml:space="preserve">Hon. Barbara Marie Scheper</t>
  </si>
  <si>
    <t xml:space="preserve">Summary Judgment</t>
  </si>
  <si>
    <t xml:space="preserve">Merits/Judgment</t>
  </si>
  <si>
    <t xml:space="preserve">Contractual Fraud</t>
  </si>
  <si>
    <t xml:space="preserve">https://trellis.law/case/bc486656/old-church-llc-et-al-vs-far-east-national-bank</t>
  </si>
  <si>
    <t xml:space="preserve">FREEDMAN &amp; TAITELMAN LLP VS JEDAMIST ET AL</t>
  </si>
  <si>
    <t xml:space="preserve">BC458020</t>
  </si>
  <si>
    <t xml:space="preserve">Mar 23, 2011</t>
  </si>
  <si>
    <t xml:space="preserve">trellis-_F_T_-49rows.xlsx</t>
  </si>
  <si>
    <t xml:space="preserve">https://trellis.law/case/bc458020/freedman-taitelman-llp-vs-jedamist-et-al</t>
  </si>
  <si>
    <t xml:space="preserve">LEE &amp; ASSOC COMMERCIAL REAL ESTATE ET AL VS DENNIS SWANSON</t>
  </si>
  <si>
    <t xml:space="preserve">BC493574</t>
  </si>
  <si>
    <t xml:space="preserve">Oct 12, 2012</t>
  </si>
  <si>
    <t xml:space="preserve">https://trellis.law/case/bc493574/lee-assoc-commercial-real-estate-et-al-vs-dennis-swanson</t>
  </si>
  <si>
    <t xml:space="preserve">GATEWAY BUSINESS BANK VS E F J ENTERPRISE, INC., ET AL</t>
  </si>
  <si>
    <t xml:space="preserve">VC039137</t>
  </si>
  <si>
    <t xml:space="preserve">Jan 24, 2003</t>
  </si>
  <si>
    <t xml:space="preserve">Hon. Brian F. Gasdia</t>
  </si>
  <si>
    <t xml:space="preserve">Norwalk Courthouse</t>
  </si>
  <si>
    <t xml:space="preserve">https://trellis.law/case/vc039137/gateway-business-bank-vs-e-f-j-enterprise-inc-et-al</t>
  </si>
  <si>
    <t xml:space="preserve">HUDSON 604 ARIZONA LLC VS REAL OFFICE CENTERS CORP ET AL</t>
  </si>
  <si>
    <t xml:space="preserve">BC549149</t>
  </si>
  <si>
    <t xml:space="preserve">Jun 18, 2014</t>
  </si>
  <si>
    <t xml:space="preserve">Hon. Brian S. Currey</t>
  </si>
  <si>
    <t xml:space="preserve">https://trellis.law/case/bc549149/hudson-604-arizona-llc-vs-real-office-centers-corp-et-al</t>
  </si>
  <si>
    <t xml:space="preserve">G.J. DESIGN INC VS PDTW LLC ET AL</t>
  </si>
  <si>
    <t xml:space="preserve">BC473809</t>
  </si>
  <si>
    <t xml:space="preserve">Nov 18, 2011</t>
  </si>
  <si>
    <t xml:space="preserve">https://trellis.law/case/bc473809/g-j-design-inc-vs-pdtw-llc-et-al</t>
  </si>
  <si>
    <t xml:space="preserve">BANKERS TRUST CO OF CALIF N A VS NOELETHA E LACEY ET AL</t>
  </si>
  <si>
    <t xml:space="preserve">BC186587</t>
  </si>
  <si>
    <t xml:space="preserve">Feb 25, 1998</t>
  </si>
  <si>
    <t xml:space="preserve">Hon. Bruce E. Mitchell</t>
  </si>
  <si>
    <t xml:space="preserve">General Property</t>
  </si>
  <si>
    <t xml:space="preserve">https://trellis.law/case/bc186587/bankers-trust-co-calif-n-a-vs-noeletha-e-lacey-et-al</t>
  </si>
  <si>
    <t xml:space="preserve">SUPERIOR STUCCO &amp; PLASTERING  VS.  ANDREW CHERNG</t>
  </si>
  <si>
    <t xml:space="preserve">GC039002</t>
  </si>
  <si>
    <t xml:space="preserve">May 17, 2007</t>
  </si>
  <si>
    <t xml:space="preserve">Hon. C. Edward Simpson</t>
  </si>
  <si>
    <t xml:space="preserve">Pasadena Courthouse</t>
  </si>
  <si>
    <t xml:space="preserve">https://trellis.law/case/gc039002/superior-stucco-plastering-vs-andrew-cherng</t>
  </si>
  <si>
    <t xml:space="preserve">DONALD BROWN VS ALBERTSONS INC</t>
  </si>
  <si>
    <t xml:space="preserve">BC294155</t>
  </si>
  <si>
    <t xml:space="preserve">Apr 17, 2003</t>
  </si>
  <si>
    <t xml:space="preserve">Hon. Carl J. West</t>
  </si>
  <si>
    <t xml:space="preserve">Labor and Employment</t>
  </si>
  <si>
    <t xml:space="preserve">General Employment</t>
  </si>
  <si>
    <t xml:space="preserve">https://trellis.law/case/bc294155/donald-brown-vs-albertsons-inc</t>
  </si>
  <si>
    <t xml:space="preserve">MARINA HANTZIS VS. JAMES C. BOZZUTO</t>
  </si>
  <si>
    <t xml:space="preserve">BS135009</t>
  </si>
  <si>
    <t xml:space="preserve">Dec 20, 2011</t>
  </si>
  <si>
    <t xml:space="preserve">Hon. Carol Boas Goodson</t>
  </si>
  <si>
    <t xml:space="preserve">Harassment</t>
  </si>
  <si>
    <t xml:space="preserve">https://trellis.law/case/bs135009/marina-hantzis-vs-james-c-bozzuto</t>
  </si>
  <si>
    <t xml:space="preserve">ALYSON HANNINGAN VS. JOHN HOBBS</t>
  </si>
  <si>
    <t xml:space="preserve">BS141494</t>
  </si>
  <si>
    <t xml:space="preserve">Feb 13, 2013</t>
  </si>
  <si>
    <t xml:space="preserve">Judgment (Other)</t>
  </si>
  <si>
    <t xml:space="preserve">https://trellis.law/case/bs141494/alyson-hanningan-vs-john-hobbs</t>
  </si>
  <si>
    <t xml:space="preserve">RANNIE ANN RODIL VS ROBERT BASSIRI</t>
  </si>
  <si>
    <t xml:space="preserve">BS125418</t>
  </si>
  <si>
    <t xml:space="preserve">Mar 16, 2010</t>
  </si>
  <si>
    <t xml:space="preserve">https://trellis.law/case/bs125418/rannie-ann-rodil-vs-robert-bassiri</t>
  </si>
  <si>
    <t xml:space="preserve">EDDIE KWOH VS PAPA ANTONIOS INC ET AL</t>
  </si>
  <si>
    <t xml:space="preserve">BC185203</t>
  </si>
  <si>
    <t xml:space="preserve">Jan 30, 1998</t>
  </si>
  <si>
    <t xml:space="preserve">Hon. Carolyn B. Kuhl</t>
  </si>
  <si>
    <t xml:space="preserve">General Commercial</t>
  </si>
  <si>
    <t xml:space="preserve">https://trellis.law/case/bc185203/eddie-kwoh-vs-papa-antonios-inc-et-al</t>
  </si>
  <si>
    <t xml:space="preserve">SC MANUFACTURED HOMES INC ET AL VS NORMAN SCOTT LIEBERT ET A</t>
  </si>
  <si>
    <t xml:space="preserve">BC311686</t>
  </si>
  <si>
    <t xml:space="preserve">Mar 05, 2004</t>
  </si>
  <si>
    <t xml:space="preserve">Antitrust</t>
  </si>
  <si>
    <t xml:space="preserve">General Antitrust</t>
  </si>
  <si>
    <t xml:space="preserve">https://trellis.law/case/bc311686/sc-manufactured-homes-inc-et-al-vs-norman-scott-liebert-et-a</t>
  </si>
  <si>
    <t xml:space="preserve">FREEDMAN &amp; TAITELMAN, LLP VS. JANELLE HOLDEN, ET AL</t>
  </si>
  <si>
    <t xml:space="preserve">YC056930</t>
  </si>
  <si>
    <t xml:space="preserve">Mar 07, 2008</t>
  </si>
  <si>
    <t xml:space="preserve">Hon. Cary H. Nishimoto</t>
  </si>
  <si>
    <t xml:space="preserve">Torrance Courthouse</t>
  </si>
  <si>
    <t xml:space="preserve">https://trellis.law/case/yc056930/freedman-taitelman-llp-vs-janelle-holden-et-al</t>
  </si>
  <si>
    <t xml:space="preserve">DREIER STEIN KAHAN BROWNE WOODS GEORGE LLP ET AL VS NOBLE EN</t>
  </si>
  <si>
    <t xml:space="preserve">BC432802</t>
  </si>
  <si>
    <t xml:space="preserve">Hon. Charles F. Palmer</t>
  </si>
  <si>
    <t xml:space="preserve">clean_trellis__10__judges-3.xlsx</t>
  </si>
  <si>
    <t xml:space="preserve">https://trellis.law/case/bc432802/dreier-stein-kahan-browne-woods-george-llp-et-al-vs-noble-en</t>
  </si>
  <si>
    <t xml:space="preserve">STEPHEN BARNES VS LAVELY &amp; SINGER ET AL</t>
  </si>
  <si>
    <t xml:space="preserve">BC191060</t>
  </si>
  <si>
    <t xml:space="preserve">May 15, 1998</t>
  </si>
  <si>
    <t xml:space="preserve">Hon. Charles W. McCoy, Jr.</t>
  </si>
  <si>
    <t xml:space="preserve">Malpractice</t>
  </si>
  <si>
    <t xml:space="preserve">https://trellis.law/case/bc191060/stephen-barnes-vs-lavely-singer-et-al</t>
  </si>
  <si>
    <t xml:space="preserve">MDS, INC. VS. LANDMARK ENTERTAINMENT GROUP</t>
  </si>
  <si>
    <t xml:space="preserve">EC036294</t>
  </si>
  <si>
    <t xml:space="preserve">Feb 25, 2003</t>
  </si>
  <si>
    <t xml:space="preserve">Hon. Charles W. Stoll</t>
  </si>
  <si>
    <t xml:space="preserve">Glendale Courthouse</t>
  </si>
  <si>
    <t xml:space="preserve">https://trellis.law/case/ec036294/mds-inc-vs-landmark-entertainment-group</t>
  </si>
  <si>
    <t xml:space="preserve">CHARLES MARMO, ET AL VS. FRANCIS PROPERTY MANAGEMENT</t>
  </si>
  <si>
    <t xml:space="preserve">EC042434</t>
  </si>
  <si>
    <t xml:space="preserve">Mar 10, 2006</t>
  </si>
  <si>
    <t xml:space="preserve">Want of Prosecution</t>
  </si>
  <si>
    <t xml:space="preserve">Landlord-Tenant</t>
  </si>
  <si>
    <t xml:space="preserve">https://trellis.law/case/ec042434/charles-marmo-et-al-vs-francis-property-management</t>
  </si>
  <si>
    <t xml:space="preserve">SONNY HENTY, ET AL. VS M.MALONE, INC., A CALIFORNIA CORPORATION, ET AL.</t>
  </si>
  <si>
    <t xml:space="preserve">22STCP04455</t>
  </si>
  <si>
    <t xml:space="preserve">Dec 27, 2022</t>
  </si>
  <si>
    <t xml:space="preserve">Hon. Christopher K. Lui</t>
  </si>
  <si>
    <t xml:space="preserve">Voluntary Dismissal</t>
  </si>
  <si>
    <t xml:space="preserve">https://trellis.law/case/22stcp04455/sonny-henty-et-al-vs-m-malone-inc-a-california-corporation-et-al</t>
  </si>
  <si>
    <t xml:space="preserve">TATUM FAMILY INVESTMENTS, LLC, A CALIFORNIA LIMITED LIABILITY COMPANY, ET AL. VS JEFFREY A. KAPLAN, ET AL.</t>
  </si>
  <si>
    <t xml:space="preserve">20STCV08112</t>
  </si>
  <si>
    <t xml:space="preserve">Feb 26, 2020</t>
  </si>
  <si>
    <t xml:space="preserve">Civil</t>
  </si>
  <si>
    <t xml:space="preserve">Declaratory Action</t>
  </si>
  <si>
    <t xml:space="preserve">https://trellis.law/case/20stcv08112/tatum-family-investments-llc-a-california-limited-liability-company-et-al-vs-jeffrey-a-kaplan-et-al</t>
  </si>
  <si>
    <t xml:space="preserve">ARTHUR E. LEVINE, ET AL. VS JEFFREY ALAN TAUBMAN, ET AL.</t>
  </si>
  <si>
    <t xml:space="preserve">19STCV42543</t>
  </si>
  <si>
    <t xml:space="preserve">Nov 25, 2019</t>
  </si>
  <si>
    <t xml:space="preserve">https://trellis.law/case/19stcv42543/arthur-e-levine-et-al-vs-jeffrey-alan-taubman-et-al</t>
  </si>
  <si>
    <t xml:space="preserve">DIANA LANDS NATHANSON VS ALEXANDER GERVASI</t>
  </si>
  <si>
    <t xml:space="preserve">22STCV31501</t>
  </si>
  <si>
    <t xml:space="preserve">Sep 26, 2022</t>
  </si>
  <si>
    <t xml:space="preserve">Intentional Torts</t>
  </si>
  <si>
    <t xml:space="preserve">clean_trellis__10__bryan-joel.xlsx</t>
  </si>
  <si>
    <t xml:space="preserve">https://trellis.law/case/22stcv31501/diana-lands-nathanson-vs-alexander-gervasi</t>
  </si>
  <si>
    <t xml:space="preserve">UNITED TALENT AGENCY,INC. VS. BOB YARI PRODUCTIONS,INC.</t>
  </si>
  <si>
    <t xml:space="preserve">SS018262</t>
  </si>
  <si>
    <t xml:space="preserve">Jun 25, 2009</t>
  </si>
  <si>
    <t xml:space="preserve">Hon. Craig D. Karlan</t>
  </si>
  <si>
    <t xml:space="preserve">Arbitration</t>
  </si>
  <si>
    <t xml:space="preserve">General Arbitration</t>
  </si>
  <si>
    <t xml:space="preserve">https://trellis.law/case/ss018262/united-talent-agency-inc-vs-bob-yari-productions-inc</t>
  </si>
  <si>
    <t xml:space="preserve">DAVID A. POMS A TRUSTEE FOR THE DAVID A. POMS FAMILY TRUST VS TARA E. QUINN, AN INDIVIDUAL</t>
  </si>
  <si>
    <t xml:space="preserve">18SMCV00176</t>
  </si>
  <si>
    <t xml:space="preserve">Nov 06, 2018</t>
  </si>
  <si>
    <t xml:space="preserve">Unknown</t>
  </si>
  <si>
    <t xml:space="preserve">Other/Unknown</t>
  </si>
  <si>
    <t xml:space="preserve">Santa Monica</t>
  </si>
  <si>
    <t xml:space="preserve">https://trellis.law/case/18smcv00176/david-a-poms-a-trustee-for-david-a-poms-family-trust-vs-tara-e-quinn-an-individual</t>
  </si>
  <si>
    <t xml:space="preserve">GILROY PREMIUM OUTLETS LLC ET AL VS ROC RETAIL LLC</t>
  </si>
  <si>
    <t xml:space="preserve">BC560696</t>
  </si>
  <si>
    <t xml:space="preserve">Oct 14, 2014</t>
  </si>
  <si>
    <t xml:space="preserve">Hon. Dalila C. Lyons</t>
  </si>
  <si>
    <t xml:space="preserve">https://trellis.law/case/bc560696/gilroy-premium-outlets-llc-et-al-vs-roc-retail-llc</t>
  </si>
  <si>
    <t xml:space="preserve">KATHRYN RETZER VS PATRICK HERNING,, ET AL.</t>
  </si>
  <si>
    <t xml:space="preserve">BC724404</t>
  </si>
  <si>
    <t xml:space="preserve">Oct 04, 2018</t>
  </si>
  <si>
    <t xml:space="preserve">Hon. Daniel S. Murphy</t>
  </si>
  <si>
    <t xml:space="preserve">Insurance</t>
  </si>
  <si>
    <t xml:space="preserve">General Insurance</t>
  </si>
  <si>
    <t xml:space="preserve">https://trellis.law/case/bc724404/kathryn-retzer-vs-patrick-herning-et-al</t>
  </si>
  <si>
    <t xml:space="preserve">JAMES COPELAND VS RENE GABRIEL HERNANDEZ, ET AL</t>
  </si>
  <si>
    <t xml:space="preserve">VC044956</t>
  </si>
  <si>
    <t xml:space="preserve">Aug 04, 2005</t>
  </si>
  <si>
    <t xml:space="preserve">Hon. Daniel S. Pratt</t>
  </si>
  <si>
    <t xml:space="preserve">Automobile</t>
  </si>
  <si>
    <t xml:space="preserve">https://trellis.law/case/vc044956/james-copeland-vs-rene-gabriel-hernandez-et-al</t>
  </si>
  <si>
    <t xml:space="preserve">610 AVENIDA VICTORIA RESTAURANT, LLC VS. MARK GERAGOS</t>
  </si>
  <si>
    <t xml:space="preserve">30-2021-01184881-CU-BC-CJC</t>
  </si>
  <si>
    <t xml:space="preserve">Feb 17, 2021</t>
  </si>
  <si>
    <t xml:space="preserve">Hon. David A. Hoffer</t>
  </si>
  <si>
    <t xml:space="preserve">Orange County, CA</t>
  </si>
  <si>
    <t xml:space="preserve">https://trellis.law/case/30-2021-01184881-cu-bc-cjc/610-avenida-victoria-restaurant-llc-vs-mark-geragos</t>
  </si>
  <si>
    <t xml:space="preserve">2221 PARK PLACE ASSOCIATES VS DIGITAL MEDIA CAMPUS</t>
  </si>
  <si>
    <t xml:space="preserve">BC242152</t>
  </si>
  <si>
    <t xml:space="preserve">Dec 21, 2000</t>
  </si>
  <si>
    <t xml:space="preserve">Hon. David A. Horowitz</t>
  </si>
  <si>
    <t xml:space="preserve">Injunctive Action</t>
  </si>
  <si>
    <t xml:space="preserve">https://trellis.law/case/bc242152/2221-park-place-associates-vs-digital-media-campus</t>
  </si>
  <si>
    <t xml:space="preserve">YOUNG, NICOLE VS YOUNG, ANDRE</t>
  </si>
  <si>
    <t xml:space="preserve">20STFL05624</t>
  </si>
  <si>
    <t xml:space="preserve">Jun 29, 2020</t>
  </si>
  <si>
    <t xml:space="preserve">Hon. David J. Cowan</t>
  </si>
  <si>
    <t xml:space="preserve">Family</t>
  </si>
  <si>
    <t xml:space="preserve">Divorce,Separation</t>
  </si>
  <si>
    <t xml:space="preserve">Superior</t>
  </si>
  <si>
    <t xml:space="preserve">https://trellis.law/case/20stfl05624/young-nicole-vs-young-andre</t>
  </si>
  <si>
    <t xml:space="preserve">BRIAN WILLIAM CORMAN ET AL VS ROGER WILLIAM CORMAN ET AL</t>
  </si>
  <si>
    <t xml:space="preserve">BC681310</t>
  </si>
  <si>
    <t xml:space="preserve">Oct 26, 2017</t>
  </si>
  <si>
    <t xml:space="preserve">Personal Injury</t>
  </si>
  <si>
    <t xml:space="preserve">https://trellis.law/case/bc681310/brian-william-corman-et-al-vs-roger-william-corman-et-al</t>
  </si>
  <si>
    <t xml:space="preserve">SANTA BARBARA BANK &amp; TRUST VS. RAB PRODUCTIONS INC., ET AL</t>
  </si>
  <si>
    <t xml:space="preserve">BC290542</t>
  </si>
  <si>
    <t xml:space="preserve">Feb 18, 2003</t>
  </si>
  <si>
    <t xml:space="preserve">Hon. David L. Minning</t>
  </si>
  <si>
    <t xml:space="preserve">https://trellis.law/case/bc290542/santa-barbara-bank-trust-vs-rab-productions-inc-et-al</t>
  </si>
  <si>
    <t xml:space="preserve">UNITED TALENT AGENCY INC VS MEDIAMORPH INC ET AL</t>
  </si>
  <si>
    <t xml:space="preserve">BC473720</t>
  </si>
  <si>
    <t xml:space="preserve">Nov 17, 2011</t>
  </si>
  <si>
    <t xml:space="preserve">https://trellis.law/case/bc473720/united-talent-agency-inc-vs-mediamorph-inc-et-al</t>
  </si>
  <si>
    <t xml:space="preserve">MUSE PRODUCTIONS INC., ET AL VS. FRANCIS FORD COPPOLA INC.,</t>
  </si>
  <si>
    <t xml:space="preserve">BC380989</t>
  </si>
  <si>
    <t xml:space="preserve">Nov 19, 2007</t>
  </si>
  <si>
    <t xml:space="preserve">https://trellis.law/case/bc380989/muse-productions-inc-et-al-vs-francis-ford-coppola-inc</t>
  </si>
  <si>
    <t xml:space="preserve">VIDEO SYMPHONY ENTERTAINING, INC. VS. DEL REY PROPERTIES LLC</t>
  </si>
  <si>
    <t xml:space="preserve">EC037326</t>
  </si>
  <si>
    <t xml:space="preserve">Jul 30, 2003</t>
  </si>
  <si>
    <t xml:space="preserve">Hon. David M. Schacter</t>
  </si>
  <si>
    <t xml:space="preserve">Breach of Rental</t>
  </si>
  <si>
    <t xml:space="preserve">Burbank Courthouse</t>
  </si>
  <si>
    <t xml:space="preserve">https://trellis.law/case/ec037326/video-symphony-entertaining-inc-vs-del-rey-properties-llc</t>
  </si>
  <si>
    <t xml:space="preserve">PAUL SHEPHERD ET AL VS JOSHUA ALTMAN ET AL</t>
  </si>
  <si>
    <t xml:space="preserve">BC696247</t>
  </si>
  <si>
    <t xml:space="preserve">Feb 27, 2018</t>
  </si>
  <si>
    <t xml:space="preserve">Hon. David Sotelo</t>
  </si>
  <si>
    <t xml:space="preserve">https://trellis.law/case/bc696247/paul-shepherd-et-al-vs-joshua-altman-et-al</t>
  </si>
  <si>
    <t xml:space="preserve">ELLEN RAKIETEN VS TARA SENIOR, ET AL.</t>
  </si>
  <si>
    <t xml:space="preserve">19STCV37573</t>
  </si>
  <si>
    <t xml:space="preserve">Oct 18, 2019</t>
  </si>
  <si>
    <t xml:space="preserve">https://trellis.law/case/19stcv37573/ellen-rakieten-vs-tara-senior-et-al</t>
  </si>
  <si>
    <t xml:space="preserve">Vogel v. Trujillo, et al.</t>
  </si>
  <si>
    <t xml:space="preserve">30-2017-00959141-CU-DF-CJC</t>
  </si>
  <si>
    <t xml:space="preserve">Dec 04, 2017</t>
  </si>
  <si>
    <t xml:space="preserve">Hon. Deborah C. Servino</t>
  </si>
  <si>
    <t xml:space="preserve">Orange County</t>
  </si>
  <si>
    <t xml:space="preserve">https://trellis.law/case/30-2017-00959141-cu-df-cjc/vogel-v-trujillo-et-al</t>
  </si>
  <si>
    <t xml:space="preserve">MAURA MCKILLEN VS EXECUTIVE TREATMENT CORPORATION ET AL</t>
  </si>
  <si>
    <t xml:space="preserve">BC500608</t>
  </si>
  <si>
    <t xml:space="preserve">Feb 06, 2013</t>
  </si>
  <si>
    <t xml:space="preserve">Hon. Debre Katz Weintraub</t>
  </si>
  <si>
    <t xml:space="preserve">https://trellis.law/case/bc500608/maura-mckillen-vs-executive-treatment-corporation-et-al</t>
  </si>
  <si>
    <t xml:space="preserve">GORSAN BRENTWOOD LLC VS PACIFIC EQUITY REAL ESTATE DEVELOPME</t>
  </si>
  <si>
    <t xml:space="preserve">BC496548</t>
  </si>
  <si>
    <t xml:space="preserve">Jan 21, 2001</t>
  </si>
  <si>
    <t xml:space="preserve">https://trellis.law/case/bc496548/gorsan-brentwood-llc-vs-pacific-equity-real-estate-developme</t>
  </si>
  <si>
    <t xml:space="preserve">DREIER STEIN KAHAN BROWNE WOODS GEORGE LLP ET AL VS CLEARANT</t>
  </si>
  <si>
    <t xml:space="preserve">BC433970</t>
  </si>
  <si>
    <t xml:space="preserve">Mar 18, 2010</t>
  </si>
  <si>
    <t xml:space="preserve">https://trellis.law/case/bc433970/dreier-stein-kahan-browne-woods-george-llp-et-al-vs-clearant</t>
  </si>
  <si>
    <t xml:space="preserve">DREIER STEIN KAHAN BROWNE WOODS GEORGE LLP ET AL VS EV REAL</t>
  </si>
  <si>
    <t xml:space="preserve">BC458019</t>
  </si>
  <si>
    <t xml:space="preserve">https://trellis.law/case/bc458019/dreier-stein-kahan-browne-woods-george-llp-et-al-vs-ev-real</t>
  </si>
  <si>
    <t xml:space="preserve">FREEDMAN &amp; TAITELMAN LLP VS GURNEY PRODUCTIONS INC ET AL</t>
  </si>
  <si>
    <t xml:space="preserve">BC623107</t>
  </si>
  <si>
    <t xml:space="preserve">Jun 08, 2016</t>
  </si>
  <si>
    <t xml:space="preserve">Hon. Deirdre H. Hill</t>
  </si>
  <si>
    <t xml:space="preserve">Jury Verdict</t>
  </si>
  <si>
    <t xml:space="preserve">https://trellis.law/case/bc623107/freedman-taitelman-llp-vs-gurney-productions-inc-et-al</t>
  </si>
  <si>
    <t xml:space="preserve">EAST VALLEY CAPITAL PARTNERS VS SUNPAL PARTNERS</t>
  </si>
  <si>
    <t xml:space="preserve">BC209326</t>
  </si>
  <si>
    <t xml:space="preserve">Apr 26, 1999</t>
  </si>
  <si>
    <t xml:space="preserve">Hon. Dzintra I. Janavs</t>
  </si>
  <si>
    <t xml:space="preserve">https://trellis.law/case/bc209326/east-valley-capital-partners-vs-sunpal-partners</t>
  </si>
  <si>
    <t xml:space="preserve">LIANNA SHAKHNAZARIAN VS FREEDMAN TAITELMAN LLP ET AL</t>
  </si>
  <si>
    <t xml:space="preserve">BC691527</t>
  </si>
  <si>
    <t xml:space="preserve">Jan 30, 2018</t>
  </si>
  <si>
    <t xml:space="preserve">Hon. Elaine Lu</t>
  </si>
  <si>
    <t xml:space="preserve">https://trellis.law/case/bc691527/lianna-shakhnazarian-vs-freedman-taitelman-llp-et-al</t>
  </si>
  <si>
    <t xml:space="preserve">ASHLEY JOHNSON, AN INDIVIDUAL, ET AL. VS BRIAN WAYNE FOSTER, AN INDIVIDUAL</t>
  </si>
  <si>
    <t xml:space="preserve">23STCV24055</t>
  </si>
  <si>
    <t xml:space="preserve">Oct 03, 2023</t>
  </si>
  <si>
    <t xml:space="preserve">https://trellis.law/case/23stcv24055/ashley-johnson-an-individual-et-al-vs-brian-wayne-foster-an-individual</t>
  </si>
  <si>
    <t xml:space="preserve">GERALD HOFFARTH ET AL VS JACKSON NATIONAL LIFE INSURANCE CO</t>
  </si>
  <si>
    <t xml:space="preserve">BC456412</t>
  </si>
  <si>
    <t xml:space="preserve">Jan 01, 1900</t>
  </si>
  <si>
    <t xml:space="preserve">Hon. Elihu M. Berle</t>
  </si>
  <si>
    <t xml:space="preserve">General Securities</t>
  </si>
  <si>
    <t xml:space="preserve">https://trellis.law/case/bc456412/gerald-hoffarth-et-al-vs-jackson-national-life-insurance-co</t>
  </si>
  <si>
    <t xml:space="preserve">WILLIAM E EMARD VS WAYNE R STRUOSKI</t>
  </si>
  <si>
    <t xml:space="preserve">BC212137</t>
  </si>
  <si>
    <t xml:space="preserve">Jun 17, 1999</t>
  </si>
  <si>
    <t xml:space="preserve">https://trellis.law/case/bc212137/william-e-emard-vs-wayne-r-struoski</t>
  </si>
  <si>
    <t xml:space="preserve">4 SAME DAY TRANSPORTATION VS NICA, INC.</t>
  </si>
  <si>
    <t xml:space="preserve">BC497000</t>
  </si>
  <si>
    <t xml:space="preserve">Dec 06, 2012</t>
  </si>
  <si>
    <t xml:space="preserve">Hon. Elizabeth Allen White</t>
  </si>
  <si>
    <t xml:space="preserve">https://trellis.law/case/bc497000/4-same-day-transportation-vs-nica-inc</t>
  </si>
  <si>
    <t xml:space="preserve">BIG CASEY S LEASING LLC ET AL VS OCTALION LLC ET AL</t>
  </si>
  <si>
    <t xml:space="preserve">BC642975</t>
  </si>
  <si>
    <t xml:space="preserve">Dec 07, 2016</t>
  </si>
  <si>
    <t xml:space="preserve">https://trellis.law/case/bc642975/big-casey-s-leasing-llc-et-al-vs-octalion-llc-et-al</t>
  </si>
  <si>
    <t xml:space="preserve">DREIER STEIN KAHAN BROWNE WOODS ET AL VS DENNIS L KEATING II</t>
  </si>
  <si>
    <t xml:space="preserve">BC432324</t>
  </si>
  <si>
    <t xml:space="preserve">https://trellis.law/case/bc432324/dreier-stein-kahan-browne-woods-et-al-vs-dennis-l-keating-ii</t>
  </si>
  <si>
    <t xml:space="preserve">DREIER STEIN KAHAN BROWNE WOODS GEORGE LLP ET AL VS LEE GABL</t>
  </si>
  <si>
    <t xml:space="preserve">BC458135</t>
  </si>
  <si>
    <t xml:space="preserve">Mar 24, 2011</t>
  </si>
  <si>
    <t xml:space="preserve">https://trellis.law/case/bc458135/dreier-stein-kahan-browne-woods-george-llp-et-al-vs-lee-gabl</t>
  </si>
  <si>
    <t xml:space="preserve">SHUK-BING WONG VS CALLAN MCAULIFFE ET AL</t>
  </si>
  <si>
    <t xml:space="preserve">BC618573</t>
  </si>
  <si>
    <t xml:space="preserve">May 12, 2013</t>
  </si>
  <si>
    <t xml:space="preserve">https://trellis.law/case/bc618573/shuk-bing-wong-vs-callan-mcauliffe-et-al</t>
  </si>
  <si>
    <t xml:space="preserve">NECTARIOS G ZAHAB VS PRUDENTIAL CALIFORNIA REALTY ET AL</t>
  </si>
  <si>
    <t xml:space="preserve">BC360125</t>
  </si>
  <si>
    <t xml:space="preserve">Oct 11, 2006</t>
  </si>
  <si>
    <t xml:space="preserve">https://trellis.law/case/bc360125/nectarios-g-zahab-vs-prudential-california-realty-et-al</t>
  </si>
  <si>
    <t xml:space="preserve">DONALD MOTZKIN VS ERIT SHAMAM, ET AL</t>
  </si>
  <si>
    <t xml:space="preserve">LC103036</t>
  </si>
  <si>
    <t xml:space="preserve">Jun 16, 2015</t>
  </si>
  <si>
    <t xml:space="preserve">Hon. Elizabeth Ann Lippitt</t>
  </si>
  <si>
    <t xml:space="preserve">https://trellis.law/case/lc103036/donald-motzkin-vs-erit-shamam-et-al</t>
  </si>
  <si>
    <t xml:space="preserve">WESTSIDE ESTATE AGENCY INC VS JAMES RANDALL ET AL</t>
  </si>
  <si>
    <t xml:space="preserve">BC577588</t>
  </si>
  <si>
    <t xml:space="preserve">Apr 06, 2015</t>
  </si>
  <si>
    <t xml:space="preserve">Hon. Elizabeth R. Feffer</t>
  </si>
  <si>
    <t xml:space="preserve">https://trellis.law/case/bc577588/westside-estate-agency-inc-vs-james-randall-et-al</t>
  </si>
  <si>
    <t xml:space="preserve">RESCORE KOREATOWN LLC VS DREAMFORNIA ENTEPRISE INC ET AL</t>
  </si>
  <si>
    <t xml:space="preserve">BC605280</t>
  </si>
  <si>
    <t xml:space="preserve">Dec 23, 2015</t>
  </si>
  <si>
    <t xml:space="preserve">https://trellis.law/case/bc605280/rescore-koreatown-llc-vs-dreamfornia-enteprise-inc-et-al</t>
  </si>
  <si>
    <t xml:space="preserve">RANDOLPH, CASSANDRA VS UNDERWOOD, COLTON</t>
  </si>
  <si>
    <t xml:space="preserve">20STRO04869</t>
  </si>
  <si>
    <t xml:space="preserve">Sep 11, 2020</t>
  </si>
  <si>
    <t xml:space="preserve">Hon. Emily T. Spear</t>
  </si>
  <si>
    <t xml:space="preserve">Other</t>
  </si>
  <si>
    <t xml:space="preserve">Domestic Violence</t>
  </si>
  <si>
    <t xml:space="preserve">https://trellis.law/case/20stro04869/randolph-cassandra-vs-underwood-colton</t>
  </si>
  <si>
    <t xml:space="preserve">SYDNEY HOLLAND VS HEATHER NAYLOR</t>
  </si>
  <si>
    <t xml:space="preserve">BC519989</t>
  </si>
  <si>
    <t xml:space="preserve">Aug 30, 2013</t>
  </si>
  <si>
    <t xml:space="preserve">Hon. Ernest M. Hiroshige</t>
  </si>
  <si>
    <t xml:space="preserve">https://trellis.law/case/bc519989/sydney-holland-vs-heather-naylor</t>
  </si>
  <si>
    <t xml:space="preserve">LOS ROBLES BANK VS AMERICA CALIFORNIA BANK</t>
  </si>
  <si>
    <t xml:space="preserve">BC224821</t>
  </si>
  <si>
    <t xml:space="preserve">Feb 15, 2000</t>
  </si>
  <si>
    <t xml:space="preserve">Transfer</t>
  </si>
  <si>
    <t xml:space="preserve">https://trellis.law/case/bc224821/los-robles-bank-vs-america-california-bank</t>
  </si>
  <si>
    <t xml:space="preserve">VALLEYCREST LANDSCAPE DEVELOPMENT INC VS RANCHO MALIBU LLC</t>
  </si>
  <si>
    <t xml:space="preserve">BC430755</t>
  </si>
  <si>
    <t xml:space="preserve">Jan 28, 2010</t>
  </si>
  <si>
    <t xml:space="preserve">https://trellis.law/case/bc430755/valleycrest-landscape-development-inc-vs-rancho-malibu-llc</t>
  </si>
  <si>
    <t xml:space="preserve">PENINSULA MERCHANT SYNDICATIONS CORP ET AL VS KIRK MULLEN</t>
  </si>
  <si>
    <t xml:space="preserve">BC441475</t>
  </si>
  <si>
    <t xml:space="preserve">Jul 12, 2010</t>
  </si>
  <si>
    <t xml:space="preserve">https://trellis.law/case/bc441475/peninsula-merchant-syndications-corp-et-al-vs-kirk-mullen</t>
  </si>
  <si>
    <t xml:space="preserve">ROYAL CREST CONSTRUCTION INC VS RUXTON PACIFIC LLC</t>
  </si>
  <si>
    <t xml:space="preserve">BC374274</t>
  </si>
  <si>
    <t xml:space="preserve">Jul 16, 2007</t>
  </si>
  <si>
    <t xml:space="preserve">https://trellis.law/case/bc374274/royal-crest-construction-inc-vs-ruxton-pacific-llc</t>
  </si>
  <si>
    <t xml:space="preserve">DREIER STEIN KAHAN BROWNE WOODS GEORGE LLP ET AL VS MARY GRA</t>
  </si>
  <si>
    <t xml:space="preserve">BC439260</t>
  </si>
  <si>
    <t xml:space="preserve">Jun 07, 2010</t>
  </si>
  <si>
    <t xml:space="preserve">https://trellis.law/case/bc439260/dreier-stein-kahan-browne-woods-george-llp-et-al-vs-mary-gra</t>
  </si>
  <si>
    <t xml:space="preserve">WILLIAM P BARRETTA VS JEFFREY T SANTORO</t>
  </si>
  <si>
    <t xml:space="preserve">BC445070</t>
  </si>
  <si>
    <t xml:space="preserve">Sep 07, 2010</t>
  </si>
  <si>
    <t xml:space="preserve">https://trellis.law/case/bc445070/william-p-barretta-vs-jeffrey-t-santoro</t>
  </si>
  <si>
    <t xml:space="preserve">KNIGHT CONSTRUCTION INC VS SHARMAGNE ST JOHN</t>
  </si>
  <si>
    <t xml:space="preserve">BC158989</t>
  </si>
  <si>
    <t xml:space="preserve">Oct 15, 1996</t>
  </si>
  <si>
    <t xml:space="preserve">Hon. Frances Rothschild</t>
  </si>
  <si>
    <t xml:space="preserve">https://trellis.law/case/bc158989/knight-construction-inc-vs-sharmagne-st-john</t>
  </si>
  <si>
    <t xml:space="preserve">DEEP BLUE FINANCIAL L P VS IC PARTNERS LLC ET AL</t>
  </si>
  <si>
    <t xml:space="preserve">BC550589</t>
  </si>
  <si>
    <t xml:space="preserve">Jul 03, 2014</t>
  </si>
  <si>
    <t xml:space="preserve">Hon. Frederick C. Shaller</t>
  </si>
  <si>
    <t xml:space="preserve">https://trellis.law/case/bc550589/deep-blue-financial-l-p-vs-ic-partners-llc-et-al</t>
  </si>
  <si>
    <t xml:space="preserve">Freedman Taitelman LLP vs. Lori F Weinerman trustee of the Weinerman Family Trust</t>
  </si>
  <si>
    <t xml:space="preserve">56-2016-00481718-CL-BC-VTA</t>
  </si>
  <si>
    <t xml:space="preserve">May 13, 2016</t>
  </si>
  <si>
    <t xml:space="preserve">Hon. Frederick H. Bysshe, Jr.</t>
  </si>
  <si>
    <t xml:space="preserve">Ventura County</t>
  </si>
  <si>
    <t xml:space="preserve">https://trellis.law/case/56-2016-00481718-cl-bc-vta/freedman-taitelman-llp-vs-lori-f-weinerman-trustee-weinerman-family-trust</t>
  </si>
  <si>
    <t xml:space="preserve">SOUTHERN CALIFORNIA BUILDERS VS BUCA INC</t>
  </si>
  <si>
    <t xml:space="preserve">BC212722</t>
  </si>
  <si>
    <t xml:space="preserve">Jun 29, 1999</t>
  </si>
  <si>
    <t xml:space="preserve">Hon. Fumiko Hachiya Wasserman</t>
  </si>
  <si>
    <t xml:space="preserve">https://trellis.law/case/bc212722/southern-california-builders-vs-buca-inc</t>
  </si>
  <si>
    <t xml:space="preserve">UNITED TALENT AGENCY INC VS POPPY PETAL EMA ELIZABETH DEVERA</t>
  </si>
  <si>
    <t xml:space="preserve">BC549483</t>
  </si>
  <si>
    <t xml:space="preserve">Jun 23, 2014</t>
  </si>
  <si>
    <t xml:space="preserve">Hon. Gail Ruderman Feuer</t>
  </si>
  <si>
    <t xml:space="preserve">https://trellis.law/case/bc549483/united-talent-agency-inc-vs-poppy-petal-ema-elizabeth-devera</t>
  </si>
  <si>
    <t xml:space="preserve">FREEDMAN &amp; TAITELMAN LLP VS SHUCK</t>
  </si>
  <si>
    <t xml:space="preserve">RIC526684</t>
  </si>
  <si>
    <t xml:space="preserve">May 15, 2009</t>
  </si>
  <si>
    <t xml:space="preserve">Hon. Gary B. Tranbarger</t>
  </si>
  <si>
    <t xml:space="preserve">Riverside County</t>
  </si>
  <si>
    <t xml:space="preserve">https://trellis.law/case/ric526684/freedman-taitelman-llp-vs-shuck</t>
  </si>
  <si>
    <t xml:space="preserve">Kevin Twiggs et al. vs Meritage Homes of California, Inc., a California Limited Liability Company et al.</t>
  </si>
  <si>
    <t xml:space="preserve">STK-CV-UCD-2022-0007454</t>
  </si>
  <si>
    <t xml:space="preserve">Aug 24, 2022</t>
  </si>
  <si>
    <t xml:space="preserve">Hon. George J. Abdallah, Jr.</t>
  </si>
  <si>
    <t xml:space="preserve">Construction</t>
  </si>
  <si>
    <t xml:space="preserve">San Joaquin County</t>
  </si>
  <si>
    <t xml:space="preserve">https://trellis.law/case/stk-cv-ucd-2022-0007454/kevin-twiggs-et-al-vs-meritage-homes-california-inc-a-california-limited-liability-company-et-al</t>
  </si>
  <si>
    <t xml:space="preserve">BAMO,INCORPORATED VS. RANCHO MALIBU</t>
  </si>
  <si>
    <t xml:space="preserve">SC104543</t>
  </si>
  <si>
    <t xml:space="preserve">Aug 24, 2009</t>
  </si>
  <si>
    <t xml:space="preserve">Hon. Gerald S. Rosenberg</t>
  </si>
  <si>
    <t xml:space="preserve">Santa Monica Courthouse</t>
  </si>
  <si>
    <t xml:space="preserve">https://trellis.law/case/sc104543/bamo-incorporated-vs-rancho-malibu</t>
  </si>
  <si>
    <t xml:space="preserve">COLLECTIVE DIGITAL STUDIO, LLC VS DANE BOEDIGHEIMER, ET AL.,</t>
  </si>
  <si>
    <t xml:space="preserve">BS152232</t>
  </si>
  <si>
    <t xml:space="preserve">Dec 23, 2014</t>
  </si>
  <si>
    <t xml:space="preserve">https://trellis.law/case/bs152232/collective-digital-studio-llc-vs-dane-boedigheimer-et-al</t>
  </si>
  <si>
    <t xml:space="preserve">CASEY BENNETT VS JASON "ROCKY" ROMANO</t>
  </si>
  <si>
    <t xml:space="preserve">SC125502</t>
  </si>
  <si>
    <t xml:space="preserve">Mar 04, 2016</t>
  </si>
  <si>
    <t xml:space="preserve">https://trellis.law/case/sc125502/casey-bennett-vs-jason-rocky-romano</t>
  </si>
  <si>
    <t xml:space="preserve">PROLACTA BIOSCIENCE, INC. VS. ELENA TAGGART MEDO</t>
  </si>
  <si>
    <t xml:space="preserve">30-2015-00767116-CU-NP-CJC</t>
  </si>
  <si>
    <t xml:space="preserve">Jan 20, 2015</t>
  </si>
  <si>
    <t xml:space="preserve">Hon. Glenda Sanders</t>
  </si>
  <si>
    <t xml:space="preserve">Non-Jury Verdict</t>
  </si>
  <si>
    <t xml:space="preserve">General Torts</t>
  </si>
  <si>
    <t xml:space="preserve">https://trellis.law/case/30-2015-00767116-cu-np-cjc/prolacta-bioscience-inc-vs-elena-taggart-medo</t>
  </si>
  <si>
    <t xml:space="preserve">EMJAG PRODUCTIONS INC ET AL VS THE WEINSTEIN COMPANY LLC</t>
  </si>
  <si>
    <t xml:space="preserve">BC685511</t>
  </si>
  <si>
    <t xml:space="preserve">Dec 01, 2017</t>
  </si>
  <si>
    <t xml:space="preserve">Hon. Gregory Keosian</t>
  </si>
  <si>
    <t xml:space="preserve">clean_trellis__10__top-seen-judges.xlsx</t>
  </si>
  <si>
    <t xml:space="preserve">https://trellis.law/case/bc685511/emjag-productions-inc-et-al-vs-weinstein-company-llc</t>
  </si>
  <si>
    <t xml:space="preserve">REGENT, LP, A CALIFORNIA LIMITED PARTNERSHIP, ET AL. VS DAVID STEINHAFEL, AN INDIVIDUAL, ET AL.</t>
  </si>
  <si>
    <t xml:space="preserve">22STCV02610</t>
  </si>
  <si>
    <t xml:space="preserve">Jan 21, 2022</t>
  </si>
  <si>
    <t xml:space="preserve">https://trellis.law/case/22stcv02610/regent-lp-a-california-limited-partnership-et-al-vs-david-steinhafel-an-individual-et-al</t>
  </si>
  <si>
    <t xml:space="preserve">YASHAR ALI VS LOS ANGELES MAGAZINE, LLC, A CALIFORNIA LIMITED LIABILITY COMPANY</t>
  </si>
  <si>
    <t xml:space="preserve">22STCV18984</t>
  </si>
  <si>
    <t xml:space="preserve">Jun 09, 2022</t>
  </si>
  <si>
    <t xml:space="preserve">https://trellis.law/case/22stcv18984/yashar-ali-vs-los-angeles-magazine-llc-a-california-limited-liability-company</t>
  </si>
  <si>
    <t xml:space="preserve">ROSS LEVINSOHN, AN INDIVIDUAL VS THE ARENA GROUP HOLDINGS, INC., A DELAWARE CORPORATION, ET AL.</t>
  </si>
  <si>
    <t xml:space="preserve">24STCV07320</t>
  </si>
  <si>
    <t xml:space="preserve">Mar 21, 2024</t>
  </si>
  <si>
    <t xml:space="preserve">Wrongful Termination</t>
  </si>
  <si>
    <t xml:space="preserve">https://trellis.law/case/24stcv07320/ross-levinsohn-an-individual-vs-arena-group-holdings-inc-a-delaware-corporation-et-al</t>
  </si>
  <si>
    <t xml:space="preserve">FREEDMAN TAITELMAN LLP VS SAM LUTFI</t>
  </si>
  <si>
    <t xml:space="preserve">BC642177</t>
  </si>
  <si>
    <t xml:space="preserve">Nov 30, 2016</t>
  </si>
  <si>
    <t xml:space="preserve">https://trellis.law/case/bc642177/freedman-taitelman-llp-vs-sam-lutfi</t>
  </si>
  <si>
    <t xml:space="preserve">GERALD SCHNEIDERMAN ET AL VS STEVEN L ZELIG ET AL</t>
  </si>
  <si>
    <t xml:space="preserve">BC268643</t>
  </si>
  <si>
    <t xml:space="preserve">Feb 21, 2002</t>
  </si>
  <si>
    <t xml:space="preserve">Hon. Gregory Wilson Alarcon</t>
  </si>
  <si>
    <t xml:space="preserve">https://trellis.law/case/bc268643/gerald-schneiderman-et-al-vs-steven-l-zelig-et-al</t>
  </si>
  <si>
    <t xml:space="preserve">DAVID J CAMEL VS MARK SCHIFFMACHER ET AL</t>
  </si>
  <si>
    <t xml:space="preserve">BC357502</t>
  </si>
  <si>
    <t xml:space="preserve">Aug 24, 2006</t>
  </si>
  <si>
    <t xml:space="preserve">Hon. Haley J. Fromholz</t>
  </si>
  <si>
    <t xml:space="preserve">https://trellis.law/case/bc357502/david-j-camel-vs-mark-schiffmacher-et-al</t>
  </si>
  <si>
    <t xml:space="preserve">THOMAS KELLEY VS U S FOODSERVICE INC</t>
  </si>
  <si>
    <t xml:space="preserve">BC299998</t>
  </si>
  <si>
    <t xml:space="preserve">Jul 31, 2003</t>
  </si>
  <si>
    <t xml:space="preserve">https://trellis.law/case/bc299998/thomas-kelley-vs-u-s-foodservice-inc</t>
  </si>
  <si>
    <t xml:space="preserve">MAURICE MARCIANO VS HANS KOSTRZEWSKI</t>
  </si>
  <si>
    <t xml:space="preserve">BC191291</t>
  </si>
  <si>
    <t xml:space="preserve">May 19, 1998</t>
  </si>
  <si>
    <t xml:space="preserve">https://trellis.law/case/bc191291/maurice-marciano-vs-hans-kostrzewski</t>
  </si>
  <si>
    <t xml:space="preserve">CHANG LEE ET AL VS WILSHIRE CHAPMAN PLAZA LLC ET AL</t>
  </si>
  <si>
    <t xml:space="preserve">BC296211</t>
  </si>
  <si>
    <t xml:space="preserve">May 22, 2003</t>
  </si>
  <si>
    <t xml:space="preserve">Premises Liability</t>
  </si>
  <si>
    <t xml:space="preserve">https://trellis.law/case/bc296211/chang-lee-et-al-vs-wilshire-chapman-plaza-llc-et-al</t>
  </si>
  <si>
    <t xml:space="preserve">LOS ROBLES BANK VS GALAXY SOFTWARE INC ET AL</t>
  </si>
  <si>
    <t xml:space="preserve">BC179101</t>
  </si>
  <si>
    <t xml:space="preserve">Oct 07, 1997</t>
  </si>
  <si>
    <t xml:space="preserve">https://trellis.law/case/bc179101/los-robles-bank-vs-galaxy-software-inc-et-al</t>
  </si>
  <si>
    <t xml:space="preserve">WHITNEY R. LEEMAN VS. ARC INTERNATIONAL NORTH AMERICA INC et al</t>
  </si>
  <si>
    <t xml:space="preserve">CGC03418025</t>
  </si>
  <si>
    <t xml:space="preserve">Mar 05, 2003</t>
  </si>
  <si>
    <t xml:space="preserve">Hon. Harold E. Kahn</t>
  </si>
  <si>
    <t xml:space="preserve">Consolidation</t>
  </si>
  <si>
    <t xml:space="preserve">Economic Torts</t>
  </si>
  <si>
    <t xml:space="preserve">San Francisco County</t>
  </si>
  <si>
    <t xml:space="preserve">https://trellis.law/case/cgc03418025/whitney-r-leeman-vs-arc-international-north-america-inc-et-al</t>
  </si>
  <si>
    <t xml:space="preserve">LIBERTY MEDIA GROUP, LLC, ET AL., VS NATIONAL PROMOTIONS AND</t>
  </si>
  <si>
    <t xml:space="preserve">SC126900</t>
  </si>
  <si>
    <t xml:space="preserve">Jan 06, 2017</t>
  </si>
  <si>
    <t xml:space="preserve">Hon. Harry Jay Ford III</t>
  </si>
  <si>
    <t xml:space="preserve">Trial Verdict</t>
  </si>
  <si>
    <t xml:space="preserve">https://trellis.law/case/sc126900/liberty-media-group-llc-et-al-vs-national-promotions</t>
  </si>
  <si>
    <t xml:space="preserve">HERRICK PRODUCTIONS, LLC, A DELAWARE LIMITED LIABILITY COMPANY VS MATTEL, INC., A DELAWARE CORPORATION</t>
  </si>
  <si>
    <t xml:space="preserve">19SMCV01209</t>
  </si>
  <si>
    <t xml:space="preserve">Jul 03, 2019</t>
  </si>
  <si>
    <t xml:space="preserve">https://trellis.law/case/19smcv01209/herrick-productions-llc-a-delaware-limited-liability-company-vs-mattel-inc-a-delaware-corporation</t>
  </si>
  <si>
    <t xml:space="preserve">THOMAS R. TAMAYO, III VS. LYNNE ANN STEINMAN</t>
  </si>
  <si>
    <t xml:space="preserve">PC039274</t>
  </si>
  <si>
    <t xml:space="preserve">Aug 14, 2006</t>
  </si>
  <si>
    <t xml:space="preserve">Hon. Holly E. Kendig</t>
  </si>
  <si>
    <t xml:space="preserve">Judgment on Appeal</t>
  </si>
  <si>
    <t xml:space="preserve">Chatsworth Courthouse</t>
  </si>
  <si>
    <t xml:space="preserve">https://trellis.law/case/pc039274/thomas-r-tamayo-iii-vs-lynne-ann-steinman</t>
  </si>
  <si>
    <t xml:space="preserve">WILLIAM H CRABEL VS SALVADOR CASTILLO III</t>
  </si>
  <si>
    <t xml:space="preserve">BC547893</t>
  </si>
  <si>
    <t xml:space="preserve">Jun 05, 2014</t>
  </si>
  <si>
    <t xml:space="preserve">https://trellis.law/case/bc547893/william-h-crabel-vs-salvador-castillo-iii</t>
  </si>
  <si>
    <t xml:space="preserve">ARNOLD GREENSPAN VS CAROL PERRIN ET AL</t>
  </si>
  <si>
    <t xml:space="preserve">BC400491</t>
  </si>
  <si>
    <t xml:space="preserve">Oct 23, 2008</t>
  </si>
  <si>
    <t xml:space="preserve">https://trellis.law/case/bc400491/arnold-greenspan-vs-carol-perrin-et-al</t>
  </si>
  <si>
    <t xml:space="preserve">JORDAN LEE INC VS BARBARA GOLDSMITH</t>
  </si>
  <si>
    <t xml:space="preserve">BC687377</t>
  </si>
  <si>
    <t xml:space="preserve">Dec 15, 2017</t>
  </si>
  <si>
    <t xml:space="preserve">Hon. Holly J. Fujie</t>
  </si>
  <si>
    <t xml:space="preserve">https://trellis.law/case/bc687377/jordan-lee-inc-vs-barbara-goldsmith</t>
  </si>
  <si>
    <t xml:space="preserve">MICHAEL E. KASSAN VS BRYAN JOEL FREEDMAN, ET AL.</t>
  </si>
  <si>
    <t xml:space="preserve">24STCV07943</t>
  </si>
  <si>
    <t xml:space="preserve">Mar 28, 2024</t>
  </si>
  <si>
    <t xml:space="preserve">https://trellis.law/case/24stcv07943/michael-e-kassan-vs-bryan-joel-freedman-et-al</t>
  </si>
  <si>
    <t xml:space="preserve">ARI D. BASS, AN INDIVIDUAL VS LOTUS DOMAINE MANAGEMENT, LLC, A DELAWARE LIMITED LIABILITY COMPANY</t>
  </si>
  <si>
    <t xml:space="preserve">23STCV27319</t>
  </si>
  <si>
    <t xml:space="preserve">Nov 07, 2023</t>
  </si>
  <si>
    <t xml:space="preserve">https://trellis.law/case/23stcv27319/ari-d-bass-an-individual-vs-lotus-domaine-management-llc-a-delaware-limited-liability-company</t>
  </si>
  <si>
    <t xml:space="preserve">ASHLEY JORDAN WALLENS VS MEDIA LINK, LLC</t>
  </si>
  <si>
    <t xml:space="preserve">22VECV00578</t>
  </si>
  <si>
    <t xml:space="preserve">Apr 25, 2022</t>
  </si>
  <si>
    <t xml:space="preserve">Hon. Huey P. Cotton, Jr.</t>
  </si>
  <si>
    <t xml:space="preserve">Van Nuys East</t>
  </si>
  <si>
    <t xml:space="preserve">https://trellis.law/case/22vecv00578/ashley-jordan-wallens-vs-media-link-llc</t>
  </si>
  <si>
    <t xml:space="preserve">JANE DOE VS KIRSHNIK KHARI BALL</t>
  </si>
  <si>
    <t xml:space="preserve">20STCV29465</t>
  </si>
  <si>
    <t xml:space="preserve">Aug 05, 2020</t>
  </si>
  <si>
    <t xml:space="preserve">https://trellis.law/case/20stcv29465/jane-doe-vs-kirshnik-khari-ball</t>
  </si>
  <si>
    <t xml:space="preserve">JOHNSON &amp; TEKOSKY LLP VS JONATHAN D FRANK</t>
  </si>
  <si>
    <t xml:space="preserve">BC228973</t>
  </si>
  <si>
    <t xml:space="preserve">Apr 27, 2000</t>
  </si>
  <si>
    <t xml:space="preserve">Hon. J. Stephen Czuleger</t>
  </si>
  <si>
    <t xml:space="preserve">https://trellis.law/case/bc228973/johnson-tekosky-llp-vs-jonathan-d-frank</t>
  </si>
  <si>
    <t xml:space="preserve">CEDRIC SARNOFF VS. PHILLIP S KENNEDY, ET AL</t>
  </si>
  <si>
    <t xml:space="preserve">LC043316</t>
  </si>
  <si>
    <t xml:space="preserve">Hon. James A. Kaddo</t>
  </si>
  <si>
    <t xml:space="preserve">Van Nuys Courthouse East</t>
  </si>
  <si>
    <t xml:space="preserve">https://trellis.law/case/lc043316/cedric-sarnoff-vs-phillip-s-kennedy-et-al</t>
  </si>
  <si>
    <t xml:space="preserve">BANCO POPULAR N. AMERICA VS BEHSHID BAHMANYAR,ETC.</t>
  </si>
  <si>
    <t xml:space="preserve">LC082701</t>
  </si>
  <si>
    <t xml:space="preserve">Sep 11, 2008</t>
  </si>
  <si>
    <t xml:space="preserve">https://trellis.law/case/lc082701/banco-popular-n-america-vs-behshid-bahmanyar-etc</t>
  </si>
  <si>
    <t xml:space="preserve">SAGE STEELE, ET AL. VS CREATIVE ARTISTS AGENCY, LLC, A DELAWARE LIMITED LIABILITY COMPANY</t>
  </si>
  <si>
    <t xml:space="preserve">25STCP04629</t>
  </si>
  <si>
    <t xml:space="preserve">Dec 01, 2025</t>
  </si>
  <si>
    <t xml:space="preserve">Hon. James C. Chalfant</t>
  </si>
  <si>
    <t xml:space="preserve">Administrative</t>
  </si>
  <si>
    <t xml:space="preserve">Writs</t>
  </si>
  <si>
    <t xml:space="preserve">https://trellis.law/case/25stcp04629/sage-steele-et-al-vs-creative-artists-agency-llc-a-delaware-limited-liability-company</t>
  </si>
  <si>
    <t xml:space="preserve">SUN VALLEY CHECK CASHING INC VS FIDELITY LABS OF CA</t>
  </si>
  <si>
    <t xml:space="preserve">BC243456</t>
  </si>
  <si>
    <t xml:space="preserve">Jan 17, 2001</t>
  </si>
  <si>
    <t xml:space="preserve">https://trellis.law/case/bc243456/sun-valley-check-cashing-inc-vs-fidelity-labs-ca</t>
  </si>
  <si>
    <t xml:space="preserve">FREEDMAN + TAITELMAN, LLP VS REINNASSANT, LLC</t>
  </si>
  <si>
    <t xml:space="preserve">18STLC08604</t>
  </si>
  <si>
    <t xml:space="preserve">Jun 14, 2018</t>
  </si>
  <si>
    <t xml:space="preserve">Hon. James E. Blancarte</t>
  </si>
  <si>
    <t xml:space="preserve">Los Angeles County</t>
  </si>
  <si>
    <t xml:space="preserve">https://trellis.law/case/18stlc08604/freedman-taitelman-llp-vs-reinnassant-llc</t>
  </si>
  <si>
    <t xml:space="preserve">YORI RUSECKAITE BJARTSDOTTIR VS WILLIAM CARUSO</t>
  </si>
  <si>
    <t xml:space="preserve">BQ055448</t>
  </si>
  <si>
    <t xml:space="preserve">Oct 03, 2016</t>
  </si>
  <si>
    <t xml:space="preserve">https://trellis.law/case/bq055448/yori-ruseckaite-bjartsdottir-vs-william-caruso</t>
  </si>
  <si>
    <t xml:space="preserve">WHITNEY R LEEMAN PHD VS. BED BATH &amp; BEYOND, INC.</t>
  </si>
  <si>
    <t xml:space="preserve">CGC03422636</t>
  </si>
  <si>
    <t xml:space="preserve">Jul 21, 2003</t>
  </si>
  <si>
    <t xml:space="preserve">Hon. James J. McBride</t>
  </si>
  <si>
    <t xml:space="preserve">https://trellis.law/case/cgc03422636/whitney-r-leeman-phd-vs-bed-bath-beyond-inc</t>
  </si>
  <si>
    <t xml:space="preserve">GARDEN CITY VILLAS HOMEOWNERS ASSOC.  VS.  NYMCO INC. CORP.</t>
  </si>
  <si>
    <t xml:space="preserve">GC037420</t>
  </si>
  <si>
    <t xml:space="preserve">Jul 06, 2006</t>
  </si>
  <si>
    <t xml:space="preserve">Hon. Jan A. Pluim</t>
  </si>
  <si>
    <t xml:space="preserve">https://trellis.law/case/gc037420/garden-city-villas-homeowners-assoc-vs-nymco-inc-corp</t>
  </si>
  <si>
    <t xml:space="preserve">CAL WEST FRAMING INC VS J E CARR CONSTRUCTION CORPORATION ET</t>
  </si>
  <si>
    <t xml:space="preserve">BC438863</t>
  </si>
  <si>
    <t xml:space="preserve">Jun 01, 2010</t>
  </si>
  <si>
    <t xml:space="preserve">Hon. Jane L. Johnson</t>
  </si>
  <si>
    <t xml:space="preserve">https://trellis.law/case/bc438863/cal-west-framing-inc-vs-j-e-carr-construction-corporation-et</t>
  </si>
  <si>
    <t xml:space="preserve">BANCO POPULAR -V- DE LA TORRE Print</t>
  </si>
  <si>
    <t xml:space="preserve">CIVSS815901</t>
  </si>
  <si>
    <t xml:space="preserve">Nov 13, 2008</t>
  </si>
  <si>
    <t xml:space="preserve">Hon. Janet M. Frangie</t>
  </si>
  <si>
    <t xml:space="preserve">San Bernardino</t>
  </si>
  <si>
    <t xml:space="preserve">https://trellis.law/case/civss815901/banco-popular-v-de-la-torre-print</t>
  </si>
  <si>
    <t xml:space="preserve">POMA ACQUISITION-V-MICHAEL POMA ET AL Print</t>
  </si>
  <si>
    <t xml:space="preserve">CIVSS706907</t>
  </si>
  <si>
    <t xml:space="preserve">Oct 02, 2007</t>
  </si>
  <si>
    <t xml:space="preserve">https://trellis.law/case/civss706907/poma-acquisition-v-michael-poma-et-al-print</t>
  </si>
  <si>
    <t xml:space="preserve">A &amp; A READY MIXED CONCRETE, INC. VS MAGREER, INC., ET AL</t>
  </si>
  <si>
    <t xml:space="preserve">YC043206</t>
  </si>
  <si>
    <t xml:space="preserve">Mar 20, 2002</t>
  </si>
  <si>
    <t xml:space="preserve">Hon. Jean E. Matusinka</t>
  </si>
  <si>
    <t xml:space="preserve">https://trellis.law/case/yc043206/a-a-ready-mixed-concrete-inc-vs-magreer-inc-et-al</t>
  </si>
  <si>
    <t xml:space="preserve">PENTZ, THOMAS WESLEY VS AUGUSTE, MARCHEL GABRIELLE</t>
  </si>
  <si>
    <t xml:space="preserve">20STRO06666</t>
  </si>
  <si>
    <t xml:space="preserve">Dec 08, 2020</t>
  </si>
  <si>
    <t xml:space="preserve">Hon. Jeanmarie Klingenbeck Warren</t>
  </si>
  <si>
    <t xml:space="preserve">not found CA-Los Angeles</t>
  </si>
  <si>
    <t xml:space="preserve">https://trellis.law/case/20stro06666/pentz-thomas-wesley-vs-auguste-marchel-gabrielle</t>
  </si>
  <si>
    <t xml:space="preserve">BRENDA O'SULLIVAN VS MICHAEL GOOCH JR.</t>
  </si>
  <si>
    <t xml:space="preserve">21STCV14487</t>
  </si>
  <si>
    <t xml:space="preserve">Apr 16, 2021</t>
  </si>
  <si>
    <t xml:space="preserve">Hon. Jill T. Feeney</t>
  </si>
  <si>
    <t xml:space="preserve">https://trellis.law/case/21stcv14487/brenda-o-sullivan-vs-michael-gooch-jr</t>
  </si>
  <si>
    <t xml:space="preserve">SADVIPRA, LLC, ET AL. VS IBORROW REIT, LP, A DELAWARE LP</t>
  </si>
  <si>
    <t xml:space="preserve">22AHCV00596</t>
  </si>
  <si>
    <t xml:space="preserve">Aug 19, 2022</t>
  </si>
  <si>
    <t xml:space="preserve">Hon. Joel L. Lofton</t>
  </si>
  <si>
    <t xml:space="preserve">Alhambra</t>
  </si>
  <si>
    <t xml:space="preserve">https://trellis.law/case/22ahcv00596/sadvipra-llc-et-al-vs-iborrow-reit-lp-a-delaware-lp</t>
  </si>
  <si>
    <t xml:space="preserve">EAST VALLEY CAPITAL PARTNERS XVI VS SUNPAL PARTNERS LTD</t>
  </si>
  <si>
    <t xml:space="preserve">BC212401</t>
  </si>
  <si>
    <t xml:space="preserve">Jun 23, 1999</t>
  </si>
  <si>
    <t xml:space="preserve">Hon. John H. Reid</t>
  </si>
  <si>
    <t xml:space="preserve">https://trellis.law/case/bc212401/east-valley-capital-partners-xvi-vs-sunpal-partners-ltd</t>
  </si>
  <si>
    <t xml:space="preserve">ANTHONY BOUYER VS 13131 VENTURA LLC, A CALIFORNIA LIMITED LIABILITY COMPANY</t>
  </si>
  <si>
    <t xml:space="preserve">22BBCV00191</t>
  </si>
  <si>
    <t xml:space="preserve">Mar 24, 2022</t>
  </si>
  <si>
    <t xml:space="preserve">Hon. John J. Kralik</t>
  </si>
  <si>
    <t xml:space="preserve">Burbank</t>
  </si>
  <si>
    <t xml:space="preserve">https://trellis.law/case/22bbcv00191/anthony-bouyer-vs-13131-ventura-llc-a-california-limited-liability-company</t>
  </si>
  <si>
    <t xml:space="preserve">JIMMY ESEBAG ET AL VS MAX AZRIA ET AL</t>
  </si>
  <si>
    <t xml:space="preserve">BC483094</t>
  </si>
  <si>
    <t xml:space="preserve">Apr 19, 2012</t>
  </si>
  <si>
    <t xml:space="preserve">Hon. John L. Segal</t>
  </si>
  <si>
    <t xml:space="preserve">https://trellis.law/case/bc483094/jimmy-esebag-et-al-vs-max-azria-et-al</t>
  </si>
  <si>
    <t xml:space="preserve">CAMDEN HEALTHCARE LLC ET AL VS MAX AZRIA</t>
  </si>
  <si>
    <t xml:space="preserve">BC475247</t>
  </si>
  <si>
    <t xml:space="preserve">Dec 15, 2011</t>
  </si>
  <si>
    <t xml:space="preserve">https://trellis.law/case/bc475247/camden-healthcare-llc-et-al-vs-max-azria</t>
  </si>
  <si>
    <t xml:space="preserve">THE COLLECTIVE MANAGEMENT GROUP LLC VS RICK GOMEZ ET AL</t>
  </si>
  <si>
    <t xml:space="preserve">BC460936</t>
  </si>
  <si>
    <t xml:space="preserve">May 04, 2011</t>
  </si>
  <si>
    <t xml:space="preserve">https://trellis.law/case/bc460936/collective-management-group-llc-vs-rick-gomez-et-al</t>
  </si>
  <si>
    <t xml:space="preserve">BRYAN J. FREEDMAN VS. ET WHITEHALL SANTA MONICA PARTNERS</t>
  </si>
  <si>
    <t xml:space="preserve">SC079243</t>
  </si>
  <si>
    <t xml:space="preserve">Oct 08, 2003</t>
  </si>
  <si>
    <t xml:space="preserve">Closed</t>
  </si>
  <si>
    <t xml:space="preserve">https://trellis.law/case/sc079243/bryan-j-freedman-vs-et-whitehall-santa-monica-partners</t>
  </si>
  <si>
    <t xml:space="preserve">JASON ANISH VS GUARDIAN AUTO CENTER INC ET AL</t>
  </si>
  <si>
    <t xml:space="preserve">BC363548</t>
  </si>
  <si>
    <t xml:space="preserve">Dec 18, 2006</t>
  </si>
  <si>
    <t xml:space="preserve">Hon. John Shepard Wiley, Jr.</t>
  </si>
  <si>
    <t xml:space="preserve">https://trellis.law/case/bc363548/jason-anish-vs-guardian-auto-center-inc-et-al</t>
  </si>
  <si>
    <t xml:space="preserve">TAL INC ET AL VS H T B MARKETING INC ET AL</t>
  </si>
  <si>
    <t xml:space="preserve">BC428550</t>
  </si>
  <si>
    <t xml:space="preserve">Dec 22, 2009</t>
  </si>
  <si>
    <t xml:space="preserve">https://trellis.law/case/bc428550/tal-inc-et-al-vs-h-t-b-marketing-inc-et-al</t>
  </si>
  <si>
    <t xml:space="preserve">VIRIDIAN ENTERTAINMENT INC VS ELTON BRAND ET AL</t>
  </si>
  <si>
    <t xml:space="preserve">BC347499</t>
  </si>
  <si>
    <t xml:space="preserve">Feb 15, 2006</t>
  </si>
  <si>
    <t xml:space="preserve">https://trellis.law/case/bc347499/viridian-entertainment-inc-vs-elton-brand-et-al</t>
  </si>
  <si>
    <t xml:space="preserve">THTULINE ENTERTAINMENT INC VS JUAN MANUEL</t>
  </si>
  <si>
    <t xml:space="preserve">BC394303</t>
  </si>
  <si>
    <t xml:space="preserve">Jul 14, 2008</t>
  </si>
  <si>
    <t xml:space="preserve">https://trellis.law/case/bc394303/thtuline-entertainment-inc-vs-juan-manuel</t>
  </si>
  <si>
    <t xml:space="preserve">CARL NERSESIAN ET AL VS VERED AMIR ET AL</t>
  </si>
  <si>
    <t xml:space="preserve">BC334996</t>
  </si>
  <si>
    <t xml:space="preserve">Jun 15, 2005</t>
  </si>
  <si>
    <t xml:space="preserve">https://trellis.law/case/bc334996/carl-nersesian-et-al-vs-vered-amir-et-al</t>
  </si>
  <si>
    <t xml:space="preserve">JEDAMIST VS MARGARET L ENGLAND M D</t>
  </si>
  <si>
    <t xml:space="preserve">BC410321</t>
  </si>
  <si>
    <t xml:space="preserve">Mar 24, 2009</t>
  </si>
  <si>
    <t xml:space="preserve">https://trellis.law/case/bc410321/jedamist-vs-margaret-l-england-m-d</t>
  </si>
  <si>
    <t xml:space="preserve">UNITED TALENT AGENCY INC VS KARRIE WOLFE</t>
  </si>
  <si>
    <t xml:space="preserve">BC352003</t>
  </si>
  <si>
    <t xml:space="preserve">May 08, 2006</t>
  </si>
  <si>
    <t xml:space="preserve">https://trellis.law/case/bc352003/united-talent-agency-inc-vs-karrie-wolfe</t>
  </si>
  <si>
    <t xml:space="preserve">PHILLIP D NEBER VS GAF CORPORATION ET AL</t>
  </si>
  <si>
    <t xml:space="preserve">BC242138</t>
  </si>
  <si>
    <t xml:space="preserve">Dec 20, 2000</t>
  </si>
  <si>
    <t xml:space="preserve">Hon. Jon M. Mayeda</t>
  </si>
  <si>
    <t xml:space="preserve">Mass Torts</t>
  </si>
  <si>
    <t xml:space="preserve">https://trellis.law/case/bc242138/phillip-d-neber-vs-gaf-corporation-et-al</t>
  </si>
  <si>
    <t xml:space="preserve">MARIE  TAYLOR    VS.    U.S. FOODSERVICE  INC. CORP.</t>
  </si>
  <si>
    <t xml:space="preserve">GC040065</t>
  </si>
  <si>
    <t xml:space="preserve">Dec 18, 2007</t>
  </si>
  <si>
    <t xml:space="preserve">Hon. Joseph F. De Vanon</t>
  </si>
  <si>
    <t xml:space="preserve">https://trellis.law/case/gc040065/marie-taylor-vs-u-s-foodservice-inc-corp</t>
  </si>
  <si>
    <t xml:space="preserve">TATUM, JENNA DEWAN VS TATUM, CHANNING MATTHEW</t>
  </si>
  <si>
    <t xml:space="preserve">18STFL13070</t>
  </si>
  <si>
    <t xml:space="preserve">Oct 26, 2018</t>
  </si>
  <si>
    <t xml:space="preserve">Hon. Joseph M. Lipner</t>
  </si>
  <si>
    <t xml:space="preserve">https://trellis.law/case/18stfl13070/tatum-jenna-dewan-vs-tatum-channing-matthew</t>
  </si>
  <si>
    <t xml:space="preserve">RENA ARRIOLA -V- GELCO CORPPORATION ETAL</t>
  </si>
  <si>
    <t xml:space="preserve">SCVSS119334</t>
  </si>
  <si>
    <t xml:space="preserve">Sep 02, 2004</t>
  </si>
  <si>
    <t xml:space="preserve">Hon. Kenneth G. Ziebarth</t>
  </si>
  <si>
    <t xml:space="preserve">San Bernardino County</t>
  </si>
  <si>
    <t xml:space="preserve">https://trellis.law/case/scvss119334/rena-arriola-v-gelco-corpporation-etal</t>
  </si>
  <si>
    <t xml:space="preserve">DREIER STEIN KAHAN BROWNE WOODS GEORGE LLP ET AL VS E-SMART</t>
  </si>
  <si>
    <t xml:space="preserve">BC439084</t>
  </si>
  <si>
    <t xml:space="preserve">Jun 04, 2010</t>
  </si>
  <si>
    <t xml:space="preserve">Hon. Kenneth R. Freeman</t>
  </si>
  <si>
    <t xml:space="preserve">https://trellis.law/case/bc439084/dreier-stein-kahan-browne-woods-george-llp-et-al-vs-e-smart</t>
  </si>
  <si>
    <t xml:space="preserve">WILLIAM REGAN VS BRYAN J FREEDMAN</t>
  </si>
  <si>
    <t xml:space="preserve">BC237267</t>
  </si>
  <si>
    <t xml:space="preserve">Sep 22, 2000</t>
  </si>
  <si>
    <t xml:space="preserve">https://trellis.law/case/bc237267/william-regan-vs-bryan-j-freedman</t>
  </si>
  <si>
    <t xml:space="preserve">FREEDMAN TAITELMAN, LLP, A CALIFORNIA LIMITED LIABILITY PARTNERSHIP VS S.P. DAS ENTERPRISES, LLP., A DELAWARE LIMITED LIABILITY COMPANY, ET AL.</t>
  </si>
  <si>
    <t xml:space="preserve">22STCV07779</t>
  </si>
  <si>
    <t xml:space="preserve">Mar 03, 2022</t>
  </si>
  <si>
    <t xml:space="preserve">Hon. Kevin C. Brazile</t>
  </si>
  <si>
    <t xml:space="preserve">https://trellis.law/case/22stcv07779/freedman-taitelman-llp-a-california-limited-liability-partnership-vs-s-p-das-enterprises-llp-a-delaware-limited-liability-company-et-al</t>
  </si>
  <si>
    <t xml:space="preserve">DAVID HOBERMAN VS ROBERT WAGMAN ET AL</t>
  </si>
  <si>
    <t xml:space="preserve">BC494804</t>
  </si>
  <si>
    <t xml:space="preserve">Oct 30, 2012</t>
  </si>
  <si>
    <t xml:space="preserve">https://trellis.law/case/bc494804/david-hoberman-vs-robert-wagman-et-al</t>
  </si>
  <si>
    <t xml:space="preserve">256 5TH AVENUE LLC VS. 610 AVENIDA VICTORIA RESTAURANT, LLC</t>
  </si>
  <si>
    <t xml:space="preserve">30-2021-01184528-CU-UD-CJC</t>
  </si>
  <si>
    <t xml:space="preserve">Hon. Kimberly A. Knill</t>
  </si>
  <si>
    <t xml:space="preserve">https://trellis.law/case/30-2021-01184528-cu-ud-cjc/256-5th-avenue-llc-vs-610-avenida-victoria-restaurant-llc</t>
  </si>
  <si>
    <t xml:space="preserve">REBEL ENTERTAINMENT PARTNERS, INC., A CALIFORNIA CORPORATION VS BIG TICKET TELEVISION, INC., A DELAWARE CORPORATION, ET AL.</t>
  </si>
  <si>
    <t xml:space="preserve">20STCV29404</t>
  </si>
  <si>
    <t xml:space="preserve">Aug 04, 2020</t>
  </si>
  <si>
    <t xml:space="preserve">Hon. Kristin S. Escalante</t>
  </si>
  <si>
    <t xml:space="preserve">https://trellis.law/case/20stcv29404/rebel-entertainment-partners-inc-a-california-corporation-vs-big-ticket-television-inc-a-delaware-corporation-et-al</t>
  </si>
  <si>
    <t xml:space="preserve">CHALMERS CORPORATION VS TRI WEST INC</t>
  </si>
  <si>
    <t xml:space="preserve">BC210337</t>
  </si>
  <si>
    <t xml:space="preserve">May 14, 1999</t>
  </si>
  <si>
    <t xml:space="preserve">Hon. Kurt Lewin</t>
  </si>
  <si>
    <t xml:space="preserve">https://trellis.law/case/bc210337/chalmers-corporation-vs-tri-west-inc</t>
  </si>
  <si>
    <t xml:space="preserve">GERALD SHEFSKY VS BANK OF AMERICA, N.T. &amp; S.A., ET AL</t>
  </si>
  <si>
    <t xml:space="preserve">BC081252</t>
  </si>
  <si>
    <t xml:space="preserve">May 18, 1993</t>
  </si>
  <si>
    <t xml:space="preserve">https://trellis.law/case/bc081252/gerald-shefsky-vs-bank-america-n-t-s-a-et-al</t>
  </si>
  <si>
    <t xml:space="preserve">BANCO POPULAR NORTH AMERICA VS. ALEXANDER AGARONIAN</t>
  </si>
  <si>
    <t xml:space="preserve">EC048093</t>
  </si>
  <si>
    <t xml:space="preserve">Sep 16, 2008</t>
  </si>
  <si>
    <t xml:space="preserve">Hon. Laura A. Matz</t>
  </si>
  <si>
    <t xml:space="preserve">https://trellis.law/case/ec048093/banco-popular-north-america-vs-alexander-agaronian</t>
  </si>
  <si>
    <t xml:space="preserve">CASA MEXICO ENTERPRISES, LLC VS ERIC GERARDO LEYVA-BUCCIO, ET AL.</t>
  </si>
  <si>
    <t xml:space="preserve">21STCP04124</t>
  </si>
  <si>
    <t xml:space="preserve">Dec 17, 2021</t>
  </si>
  <si>
    <t xml:space="preserve">Hon. Laura A. Seigle</t>
  </si>
  <si>
    <t xml:space="preserve">https://trellis.law/case/21stcp04124/casa-mexico-enterprises-llc-vs-eric-gerardo-leyva-buccio-et-al</t>
  </si>
  <si>
    <t xml:space="preserve">JESSICA DE ROTHSCHILD, ET AL. VS DIANA LANDS, ET AL.</t>
  </si>
  <si>
    <t xml:space="preserve">22STCV16977</t>
  </si>
  <si>
    <t xml:space="preserve">May 23, 2022</t>
  </si>
  <si>
    <t xml:space="preserve">https://trellis.law/case/22stcv16977/jessica-de-rothschild-et-al-vs-diana-lands-et-al</t>
  </si>
  <si>
    <t xml:space="preserve">FREEDMAN &amp; TAITELMAN, LLP, A CALIFORNIA LIMITED LIABILITY PARTNERSHIP VS JASON LUST</t>
  </si>
  <si>
    <t xml:space="preserve">19STCP02968</t>
  </si>
  <si>
    <t xml:space="preserve">Jul 09, 2019</t>
  </si>
  <si>
    <t xml:space="preserve">Hon. Laura D. Cohen</t>
  </si>
  <si>
    <t xml:space="preserve">Judgment on Award</t>
  </si>
  <si>
    <t xml:space="preserve">https://trellis.law/case/19stcp02968/freedman-taitelman-llp-a-california-limited-liability-partnership-vs-jason-lust</t>
  </si>
  <si>
    <t xml:space="preserve">CHING TANG LUO VS WORLD INTERNATIONAL CORP</t>
  </si>
  <si>
    <t xml:space="preserve">BC247596</t>
  </si>
  <si>
    <t xml:space="preserve">Mar 28, 2001</t>
  </si>
  <si>
    <t xml:space="preserve">Hon. Lawrence W. Crispo</t>
  </si>
  <si>
    <t xml:space="preserve">https://trellis.law/case/bc247596/ching-tang-luo-vs-world-international-corp</t>
  </si>
  <si>
    <t xml:space="preserve">REN¿E IZAMBARD VS S¿BASTIEN IZAMBARD</t>
  </si>
  <si>
    <t xml:space="preserve">21STCV17406</t>
  </si>
  <si>
    <t xml:space="preserve">May 10, 2021</t>
  </si>
  <si>
    <t xml:space="preserve">Hon. Lee R. Bogdanoff</t>
  </si>
  <si>
    <t xml:space="preserve">https://trellis.law/case/21stcv17406/ren-e-izambard-vs-s-bastien-izambard</t>
  </si>
  <si>
    <t xml:space="preserve">ROOFTOP MANAGEMENT, INC., A CALIFORNIA CORPORATION VS STEVE KIDD, AN INDIVIDUAL, ET AL.</t>
  </si>
  <si>
    <t xml:space="preserve">19STCV11452</t>
  </si>
  <si>
    <t xml:space="preserve">Apr 02, 2019</t>
  </si>
  <si>
    <t xml:space="preserve">Hon. Lia R. Martin</t>
  </si>
  <si>
    <t xml:space="preserve">https://trellis.law/case/19stcv11452/rooftop-management-inc-a-california-corporation-vs-steve-kidd-an-individual-et-al</t>
  </si>
  <si>
    <t xml:space="preserve">PARKITECTS,INC. VS. RANCHO MALIBU</t>
  </si>
  <si>
    <t xml:space="preserve">SC106973</t>
  </si>
  <si>
    <t xml:space="preserve">Hon. Linda K. Lefkowitz</t>
  </si>
  <si>
    <t xml:space="preserve">Bankruptcy</t>
  </si>
  <si>
    <t xml:space="preserve">https://trellis.law/case/sc106973/parkitects-inc-vs-rancho-malibu</t>
  </si>
  <si>
    <t xml:space="preserve">DR. MICHAEEL ALLEN  VS  JASON AND REBECCA GILES</t>
  </si>
  <si>
    <t xml:space="preserve">SC099414</t>
  </si>
  <si>
    <t xml:space="preserve">Apr 10, 1990</t>
  </si>
  <si>
    <t xml:space="preserve">Hon. Lisa Hart Cole</t>
  </si>
  <si>
    <t xml:space="preserve">https://trellis.law/case/sc099414/dr-michaeel-allen-vs-jason-rebecca-giles</t>
  </si>
  <si>
    <t xml:space="preserve">MEDICAL SPECIALTIES DISTRIBUTORS,INC. VS. IV SOLUTIONS,INC.</t>
  </si>
  <si>
    <t xml:space="preserve">SC082908</t>
  </si>
  <si>
    <t xml:space="preserve">Sep 16, 2004</t>
  </si>
  <si>
    <t xml:space="preserve">https://trellis.law/case/sc082908/medical-specialties-distributors-inc-vs-iv-solutions-inc</t>
  </si>
  <si>
    <t xml:space="preserve">TRI/SAM DEVELOPMENT, INC. VS. WILLIAM REGAN, ET AL</t>
  </si>
  <si>
    <t xml:space="preserve">YC034490</t>
  </si>
  <si>
    <t xml:space="preserve">Mar 01, 1999</t>
  </si>
  <si>
    <t xml:space="preserve">Hon. Lois Anderson Smaltz</t>
  </si>
  <si>
    <t xml:space="preserve">https://trellis.law/case/yc034490/tri-sam-development-inc-vs-william-regan-et-al</t>
  </si>
  <si>
    <t xml:space="preserve">BERNARD HUBERMAN VS DAVID GOMES ET AL</t>
  </si>
  <si>
    <t xml:space="preserve">BC694214</t>
  </si>
  <si>
    <t xml:space="preserve">Feb 15, 2018</t>
  </si>
  <si>
    <t xml:space="preserve">Hon. Malcolm H. Mackey</t>
  </si>
  <si>
    <t xml:space="preserve">https://trellis.law/case/bc694214/bernard-huberman-vs-david-gomes-et-al</t>
  </si>
  <si>
    <t xml:space="preserve">INSPIRE HOLLYWOOD PROPCO, LLC, A DELAWARE LIMITED LIABILITY COMPANY VS ESSEY CONSTRUCTION COMPANY, INC., A CALIFORNIA CORPORATION, ET AL.</t>
  </si>
  <si>
    <t xml:space="preserve">23STCV12806</t>
  </si>
  <si>
    <t xml:space="preserve">Jun 05, 2023</t>
  </si>
  <si>
    <t xml:space="preserve">https://trellis.law/case/23stcv12806/inspire-hollywood-propco-llc-a-delaware-limited-liability-company-vs-essey-construction-company-inc-a-california-corporation-et-al</t>
  </si>
  <si>
    <t xml:space="preserve">CHRISTOPHE NOLAN ET AL VS WILLIAM MORRIS ENDEAVOR ET AL</t>
  </si>
  <si>
    <t xml:space="preserve">BC491625</t>
  </si>
  <si>
    <t xml:space="preserve">Sep 04, 2012</t>
  </si>
  <si>
    <t xml:space="preserve">https://trellis.law/case/bc491625/christophe-nolan-et-al-vs-william-morris-endeavor-et-al</t>
  </si>
  <si>
    <t xml:space="preserve">PACCAR FINANCIAL CORP VS SHINGARA SINGH RANDHAWA. ET AL</t>
  </si>
  <si>
    <t xml:space="preserve">02AS07322</t>
  </si>
  <si>
    <t xml:space="preserve">Nov 27, 2002</t>
  </si>
  <si>
    <t xml:space="preserve">Hon. Marjorie Koller</t>
  </si>
  <si>
    <t xml:space="preserve">Sacramento County, CA</t>
  </si>
  <si>
    <t xml:space="preserve">https://trellis.law/case/02as07322/paccar-financial-corp-vs-shingara-singh-randhawa-et-al</t>
  </si>
  <si>
    <t xml:space="preserve">PLANELESS PICTURES LLC,  A CALIFORNIA LIMITED LIABILITY COMPANY VS LOGAN PAUL, ET AL.</t>
  </si>
  <si>
    <t xml:space="preserve">20SMCV02014</t>
  </si>
  <si>
    <t xml:space="preserve">Dec 29, 2020</t>
  </si>
  <si>
    <t xml:space="preserve">Hon. Mark A. Young</t>
  </si>
  <si>
    <t xml:space="preserve">https://trellis.law/case/20smcv02014/planeless-pictures-llc-a-california-limited-liability-company-vs-logan-paul-et-al</t>
  </si>
  <si>
    <t xml:space="preserve">DUESENBERG INVESTMENT COMPANY LLC, A CALIFORNIA LIMITED LIABILITY COMPANY VS WESTSIDE ESTATE AGENCY, INC., A CALIFORNIA CORPORATION</t>
  </si>
  <si>
    <t xml:space="preserve">20SMCV02021</t>
  </si>
  <si>
    <t xml:space="preserve">Dec 30, 2020</t>
  </si>
  <si>
    <t xml:space="preserve">https://trellis.law/case/20smcv02021/duesenberg-investment-company-llc-a-california-limited-liability-company-vs-westside-estate-agency-inc-a-california-corporation</t>
  </si>
  <si>
    <t xml:space="preserve">KAROLINE STAROSTIK VS TORRE J. FITZ</t>
  </si>
  <si>
    <t xml:space="preserve">23SMCV00090</t>
  </si>
  <si>
    <t xml:space="preserve">Jan 06, 2023</t>
  </si>
  <si>
    <t xml:space="preserve">https://trellis.law/case/23smcv00090/karoline-starostik-vs-torre-j-fitz</t>
  </si>
  <si>
    <t xml:space="preserve">KIRK R. BAXTER, ET AL. VS GEORGE JOEL KLEIN, JR., ET AL.</t>
  </si>
  <si>
    <t xml:space="preserve">19SMCV00078</t>
  </si>
  <si>
    <t xml:space="preserve">Jan 15, 2019</t>
  </si>
  <si>
    <t xml:space="preserve">Foreclosure</t>
  </si>
  <si>
    <t xml:space="preserve">https://trellis.law/case/19smcv00078/kirk-r-baxter-et-al-vs-george-joel-klein-jr-et-al</t>
  </si>
  <si>
    <t xml:space="preserve">AT&amp;T CORP VS CHATEAU 99 MANAGEMENT LTD ET AL</t>
  </si>
  <si>
    <t xml:space="preserve">BC196882</t>
  </si>
  <si>
    <t xml:space="preserve">Sep 01, 1998</t>
  </si>
  <si>
    <t xml:space="preserve">Hon. Marlene A. Kristovich</t>
  </si>
  <si>
    <t xml:space="preserve">https://trellis.law/case/bc196882/at-t-corp-vs-chateau-99-management-ltd-et-al</t>
  </si>
  <si>
    <t xml:space="preserve">ALTRES INC VS MICHAEL N MARKS INC ET AL</t>
  </si>
  <si>
    <t xml:space="preserve">BC180658</t>
  </si>
  <si>
    <t xml:space="preserve">Nov 03, 1997</t>
  </si>
  <si>
    <t xml:space="preserve">Hon. Marvin M. Lager</t>
  </si>
  <si>
    <t xml:space="preserve">https://trellis.law/case/bc180658/altres-inc-vs-michael-n-marks-inc-et-al</t>
  </si>
  <si>
    <t xml:space="preserve">DREIER STEIN KAHAN BROWNE WOODS GEORGE LLP VS ADVANCED AEROS</t>
  </si>
  <si>
    <t xml:space="preserve">BC432900</t>
  </si>
  <si>
    <t xml:space="preserve">Hon. Mary Ann Murphy</t>
  </si>
  <si>
    <t xml:space="preserve">https://trellis.law/case/bc432900/dreier-stein-kahan-browne-woods-george-llp-vs-advanced-aeros</t>
  </si>
  <si>
    <t xml:space="preserve">GARY G NEFF VS BETTY J NEFF ET AL</t>
  </si>
  <si>
    <t xml:space="preserve">BC616368</t>
  </si>
  <si>
    <t xml:space="preserve">Apr 11, 2016</t>
  </si>
  <si>
    <t xml:space="preserve">Hon. Mary H. Strobel</t>
  </si>
  <si>
    <t xml:space="preserve">Stayed</t>
  </si>
  <si>
    <t xml:space="preserve">https://trellis.law/case/bc616368/gary-g-neff-vs-betty-j-neff-et-al</t>
  </si>
  <si>
    <t xml:space="preserve">JUSTINE LOU GLASER VS LINDA L NELSON</t>
  </si>
  <si>
    <t xml:space="preserve">SS026075</t>
  </si>
  <si>
    <t xml:space="preserve">Apr 22, 2016</t>
  </si>
  <si>
    <t xml:space="preserve">Hon. Matthew St. George</t>
  </si>
  <si>
    <t xml:space="preserve">https://trellis.law/case/ss026075/justine-lou-glaser-vs-linda-l-nelson</t>
  </si>
  <si>
    <t xml:space="preserve">BANCO POPULAR NORTH AMERICA VS KINGS RESTORATION SERVICES IN</t>
  </si>
  <si>
    <t xml:space="preserve">BC395565</t>
  </si>
  <si>
    <t xml:space="preserve">Aug 01, 2008</t>
  </si>
  <si>
    <t xml:space="preserve">Hon. Maureen Duffy-Lewis</t>
  </si>
  <si>
    <t xml:space="preserve">https://trellis.law/case/bc395565/banco-popular-north-america-vs-kings-restoration-services-in</t>
  </si>
  <si>
    <t xml:space="preserve">23STCV21223</t>
  </si>
  <si>
    <t xml:space="preserve">Aug 31, 2023</t>
  </si>
  <si>
    <t xml:space="preserve">https://trellis.law/case/23stcv21223/st-andrews-second-home-llc-a-delaware-limited-liability-company-vs-second-home-us-inc-a-delaware-corporation-et-al</t>
  </si>
  <si>
    <t xml:space="preserve">DENYSE MILLER ET AL VS PETER SCHULTZ</t>
  </si>
  <si>
    <t xml:space="preserve">BC451258</t>
  </si>
  <si>
    <t xml:space="preserve">Dec 14, 2010</t>
  </si>
  <si>
    <t xml:space="preserve">https://trellis.law/case/bc451258/denyse-miller-et-al-vs-peter-schultz</t>
  </si>
  <si>
    <t xml:space="preserve">PALACE INVESTMENT CO., INC., A CALIFORNIA CORPORATION VS EXOD ARCH, INC., A DELAWARE CORPORATION</t>
  </si>
  <si>
    <t xml:space="preserve">23STCV31504</t>
  </si>
  <si>
    <t xml:space="preserve">Dec 26, 2023</t>
  </si>
  <si>
    <t xml:space="preserve">https://trellis.law/case/23stcv31504/palace-investment-co-inc-a-california-corporation-vs-exod-arch-inc-a-delaware-corporation</t>
  </si>
  <si>
    <t xml:space="preserve">JANET GREEN VS MURIEL FINGERHUT ET AL</t>
  </si>
  <si>
    <t xml:space="preserve">BC478734</t>
  </si>
  <si>
    <t xml:space="preserve">Feb 10, 2012</t>
  </si>
  <si>
    <t xml:space="preserve">https://trellis.law/case/bc478734/janet-green-vs-muriel-fingerhut-et-al</t>
  </si>
  <si>
    <t xml:space="preserve">HUDSON 604 ARIZONA LLC VS REAL OFFICE CENTERS CORPORATION ET</t>
  </si>
  <si>
    <t xml:space="preserve">BC536309</t>
  </si>
  <si>
    <t xml:space="preserve">Feb 13, 2014</t>
  </si>
  <si>
    <t xml:space="preserve">https://trellis.law/case/bc536309/hudson-604-arizona-llc-vs-real-office-centers-corporation-et</t>
  </si>
  <si>
    <t xml:space="preserve">FREEDMAN + TAITELMAN, LLP, A CALIFORNIA LIMITED LIABILITY PARTNERSHIP VS FRANK GRILLO, ET AL.</t>
  </si>
  <si>
    <t xml:space="preserve">21STCV24960</t>
  </si>
  <si>
    <t xml:space="preserve">Jul 07, 2021</t>
  </si>
  <si>
    <t xml:space="preserve">https://trellis.law/case/21stcv24960/freedman-taitelman-llp-a-california-limited-liability-partnership-vs-frank-grillo-et-al</t>
  </si>
  <si>
    <t xml:space="preserve">SHANE GANG PICTURES LLC, ET AL. VS MARTIN GUIGUI, ET AL.</t>
  </si>
  <si>
    <t xml:space="preserve">23STCV06616</t>
  </si>
  <si>
    <t xml:space="preserve">Mar 24, 2023</t>
  </si>
  <si>
    <t xml:space="preserve">https://trellis.law/case/23stcv06616/shane-gang-pictures-llc-et-al-vs-martin-guigui-et-al</t>
  </si>
  <si>
    <t xml:space="preserve">LEROY JACKSON VS U S FOODSERVICE INC ET AL</t>
  </si>
  <si>
    <t xml:space="preserve">BC342980</t>
  </si>
  <si>
    <t xml:space="preserve">Nov 14, 2005</t>
  </si>
  <si>
    <t xml:space="preserve">https://trellis.law/case/bc342980/leroy-jackson-vs-u-s-foodservice-inc-et-al</t>
  </si>
  <si>
    <t xml:space="preserve">13849 VENTURA, LLC., A CALIFORNIA LIMITED LIABILITY COMPANY VS NICOLE YOUNG</t>
  </si>
  <si>
    <t xml:space="preserve">21STCV32478</t>
  </si>
  <si>
    <t xml:space="preserve">Sep 01, 2021</t>
  </si>
  <si>
    <t xml:space="preserve">https://trellis.law/case/21stcv32478/13849-ventura-llc-a-california-limited-liability-company-vs-nicole-young</t>
  </si>
  <si>
    <t xml:space="preserve">NADER MOSSANEN ET AL VS HAMID MOSSANEN ET AL</t>
  </si>
  <si>
    <t xml:space="preserve">BC350328</t>
  </si>
  <si>
    <t xml:space="preserve">Sep 15, 2000</t>
  </si>
  <si>
    <t xml:space="preserve">https://trellis.law/case/bc350328/nader-mossanen-et-al-vs-hamid-mossanen-et-al</t>
  </si>
  <si>
    <t xml:space="preserve">VAULT ENTERTAINMENT, INC., A CALIFORNIA CORPORATION, ET AL. VS TIM MATHESON</t>
  </si>
  <si>
    <t xml:space="preserve">22STCV24278</t>
  </si>
  <si>
    <t xml:space="preserve">Jul 27, 2022</t>
  </si>
  <si>
    <t xml:space="preserve">Hon. Maurice A. Leiter</t>
  </si>
  <si>
    <t xml:space="preserve">https://trellis.law/case/22stcv24278/vault-entertainment-inc-a-california-corporation-et-al-vs-tim-matheson</t>
  </si>
  <si>
    <t xml:space="preserve">RATE IT INC VS YAHOO! INC</t>
  </si>
  <si>
    <t xml:space="preserve">BC497531</t>
  </si>
  <si>
    <t xml:space="preserve">Dec 14, 2012</t>
  </si>
  <si>
    <t xml:space="preserve">Hon. Mel Red Recana</t>
  </si>
  <si>
    <t xml:space="preserve">https://trellis.law/case/bc497531/rate-it-inc-vs-yahoo-inc</t>
  </si>
  <si>
    <t xml:space="preserve">MICHAEL YI ET AL VS TAMARA KIM ET AL</t>
  </si>
  <si>
    <t xml:space="preserve">BC329018</t>
  </si>
  <si>
    <t xml:space="preserve">Feb 17, 2005</t>
  </si>
  <si>
    <t xml:space="preserve">https://trellis.law/case/bc329018/michael-yi-et-al-vs-tamara-kim-et-al</t>
  </si>
  <si>
    <t xml:space="preserve">UNITED TALENT AGENCY INC VS DAVID LACHAPPELLE</t>
  </si>
  <si>
    <t xml:space="preserve">BC337122</t>
  </si>
  <si>
    <t xml:space="preserve">Jul 26, 2005</t>
  </si>
  <si>
    <t xml:space="preserve">https://trellis.law/case/bc337122/united-talent-agency-inc-vs-david-lachappelle</t>
  </si>
  <si>
    <t xml:space="preserve">STEPHANY RUIZ VS LUCKY B ET AL</t>
  </si>
  <si>
    <t xml:space="preserve">BC660049</t>
  </si>
  <si>
    <t xml:space="preserve">May 03, 2017</t>
  </si>
  <si>
    <t xml:space="preserve">https://trellis.law/case/bc660049/stephany-ruiz-vs-lucky-b-et-al</t>
  </si>
  <si>
    <t xml:space="preserve">THE COLLECTIVE MANAGEMENT GROUP LLC ET AL VS ROSELYN SANCHEZ</t>
  </si>
  <si>
    <t xml:space="preserve">BC413366</t>
  </si>
  <si>
    <t xml:space="preserve">May 07, 2009</t>
  </si>
  <si>
    <t xml:space="preserve">https://trellis.law/case/bc413366/collective-management-group-llc-et-al-vs-roselyn-sanchez</t>
  </si>
  <si>
    <t xml:space="preserve">BANCO POPULAR NORTH AMERICA VS DEBBIE DOES DELI IN</t>
  </si>
  <si>
    <t xml:space="preserve">RIC522553</t>
  </si>
  <si>
    <t xml:space="preserve">Mar 27, 2009</t>
  </si>
  <si>
    <t xml:space="preserve">Hon. Michael B. Donner</t>
  </si>
  <si>
    <t xml:space="preserve">https://trellis.law/case/ric522553/banco-popular-north-america-vs-debbie-does-deli-in</t>
  </si>
  <si>
    <t xml:space="preserve">LOLA KAMOLOV VS UNITED TALENT AGENCY CALIFORNIA, LLC, ET AL.</t>
  </si>
  <si>
    <t xml:space="preserve">19STCV30760</t>
  </si>
  <si>
    <t xml:space="preserve">Aug 29, 2019</t>
  </si>
  <si>
    <t xml:space="preserve">Hon. Michael L. Stern</t>
  </si>
  <si>
    <t xml:space="preserve">https://trellis.law/case/19stcv30760/lola-kamolov-vs-united-talent-agency-california-llc-et-al</t>
  </si>
  <si>
    <t xml:space="preserve">STUDIO 71 LP VS SAY SAY K INC</t>
  </si>
  <si>
    <t xml:space="preserve">BC700737</t>
  </si>
  <si>
    <t xml:space="preserve">Apr 04, 2018</t>
  </si>
  <si>
    <t xml:space="preserve">Hon. Michael P. Linfield</t>
  </si>
  <si>
    <t xml:space="preserve">https://trellis.law/case/bc700737/studio-71-lp-vs-say-say-k-inc</t>
  </si>
  <si>
    <t xml:space="preserve">ALI TORKZADEH VS SAMSON HAIR RESTORATION LLC ET AL</t>
  </si>
  <si>
    <t xml:space="preserve">BC420446</t>
  </si>
  <si>
    <t xml:space="preserve">https://trellis.law/case/bc420446/ali-torkzadeh-vs-samson-hair-restoration-llc-et-al</t>
  </si>
  <si>
    <t xml:space="preserve">COLETTE BARRIS VS KENYA BARRIS</t>
  </si>
  <si>
    <t xml:space="preserve">22STCV38615</t>
  </si>
  <si>
    <t xml:space="preserve">Dec 12, 2022</t>
  </si>
  <si>
    <t xml:space="preserve">https://trellis.law/case/22stcv38615/colette-barris-vs-kenya-barris</t>
  </si>
  <si>
    <t xml:space="preserve">KATE PORTER VS JULIE MILLER ET AL</t>
  </si>
  <si>
    <t xml:space="preserve">BC612472</t>
  </si>
  <si>
    <t xml:space="preserve">Mar 03, 2016</t>
  </si>
  <si>
    <t xml:space="preserve">https://trellis.law/case/bc612472/kate-porter-vs-julie-miller-et-al</t>
  </si>
  <si>
    <t xml:space="preserve">ROB GARZA VS ERIC HILTON</t>
  </si>
  <si>
    <t xml:space="preserve">21STCV40446</t>
  </si>
  <si>
    <t xml:space="preserve">Nov 03, 2021</t>
  </si>
  <si>
    <t xml:space="preserve">https://trellis.law/case/21stcv40446/rob-garza-vs-eric-hilton</t>
  </si>
  <si>
    <t xml:space="preserve">HUDSON 1861 BUNDY LLC VS FEREIDOUN CHAPARLI ET AL</t>
  </si>
  <si>
    <t xml:space="preserve">BC525643</t>
  </si>
  <si>
    <t xml:space="preserve">Oct 29, 2013</t>
  </si>
  <si>
    <t xml:space="preserve">https://trellis.law/case/bc525643/hudson-1861-bundy-llc-vs-fereidoun-chaparli-et-al</t>
  </si>
  <si>
    <t xml:space="preserve">LB ENTERTAINMENT, LLC, A CALIFORNIA LIMITED LIABILITY COMPANY, ET AL. VS PIG FARMER, LLC, A NEW MEXICO LIMITED LIABILITY COMPANY, ET AL.</t>
  </si>
  <si>
    <t xml:space="preserve">24STCV23378</t>
  </si>
  <si>
    <t xml:space="preserve">Sep 10, 2024</t>
  </si>
  <si>
    <t xml:space="preserve">https://trellis.law/case/24stcv23378/lb-entertainment-llc-a-california-limited-liability-company-et-al-vs-pig-farmer-llc-a-new-mexico-limited-liability-company-et-al</t>
  </si>
  <si>
    <t xml:space="preserve">SCOTT ROTRAMEL, ET AL VS. PRODUCERS-WRITES GUILD OF AMERICA</t>
  </si>
  <si>
    <t xml:space="preserve">EC037007</t>
  </si>
  <si>
    <t xml:space="preserve">Jun 09, 2003</t>
  </si>
  <si>
    <t xml:space="preserve">Hon. Michael S. Mink</t>
  </si>
  <si>
    <t xml:space="preserve">Removal</t>
  </si>
  <si>
    <t xml:space="preserve">https://trellis.law/case/ec037007/scott-rotramel-et-al-vs-producers-writes-guild-america</t>
  </si>
  <si>
    <t xml:space="preserve">STEVE STABLER ET AL VS NEW LINE CINEMA ET AL</t>
  </si>
  <si>
    <t xml:space="preserve">BC664796</t>
  </si>
  <si>
    <t xml:space="preserve">Jun 12, 2017</t>
  </si>
  <si>
    <t xml:space="preserve">Hon. Michelle Williams Court</t>
  </si>
  <si>
    <t xml:space="preserve">https://trellis.law/case/bc664796/steve-stabler-et-al-vs-new-line-cinema-et-al</t>
  </si>
  <si>
    <t xml:space="preserve">TIMOTHY YOUD VS JASON FREELAND ET AL</t>
  </si>
  <si>
    <t xml:space="preserve">BC665489</t>
  </si>
  <si>
    <t xml:space="preserve">Jun 16, 2017</t>
  </si>
  <si>
    <t xml:space="preserve">https://trellis.law/case/bc665489/timothy-youd-vs-jason-freeland-et-al</t>
  </si>
  <si>
    <t xml:space="preserve">KELLAN LUTZ, ET AL., VS DANIEL GUEZ, ET AL.,</t>
  </si>
  <si>
    <t xml:space="preserve">SC124751</t>
  </si>
  <si>
    <t xml:space="preserve">Sep 16, 2015</t>
  </si>
  <si>
    <t xml:space="preserve">Hon. Mitchell L. Beckloff</t>
  </si>
  <si>
    <t xml:space="preserve">https://trellis.law/case/sc124751/kellan-lutz-et-al-vs-daniel-guez-et-al</t>
  </si>
  <si>
    <t xml:space="preserve">BIG BALLER BRAND LLC, ET AL. VS GREGORY ALAN FOSTER</t>
  </si>
  <si>
    <t xml:space="preserve">19STCV11404</t>
  </si>
  <si>
    <t xml:space="preserve">Hon. Monica Bachner</t>
  </si>
  <si>
    <t xml:space="preserve">https://trellis.law/case/19stcv11404/big-baller-brand-llc-et-al-vs-gregory-alan-foster</t>
  </si>
  <si>
    <t xml:space="preserve">BRYNN CAMERON VS BLAKE GRIFFIN</t>
  </si>
  <si>
    <t xml:space="preserve">BC693739</t>
  </si>
  <si>
    <t xml:space="preserve">Feb 14, 2018</t>
  </si>
  <si>
    <t xml:space="preserve">https://trellis.law/case/bc693739/brynn-cameron-vs-blake-griffin</t>
  </si>
  <si>
    <t xml:space="preserve">ADAM GRIFFIN, ET AL. VS MELISSA L. WILLIAMS</t>
  </si>
  <si>
    <t xml:space="preserve">22STCV24275</t>
  </si>
  <si>
    <t xml:space="preserve">https://trellis.law/case/22stcv24275/adam-griffin-et-al-vs-melissa-l-williams</t>
  </si>
  <si>
    <t xml:space="preserve">STANLEY BLACK VS ROBERT K. BARTH, ET AL.</t>
  </si>
  <si>
    <t xml:space="preserve">19STCV42090</t>
  </si>
  <si>
    <t xml:space="preserve">Nov 21, 2019</t>
  </si>
  <si>
    <t xml:space="preserve">https://trellis.law/case/19stcv42090/stanley-black-vs-robert-k-barth-et-al</t>
  </si>
  <si>
    <t xml:space="preserve">STEPHEN T. SOHMER VS DEIDRE ANN HALL, ET AL</t>
  </si>
  <si>
    <t xml:space="preserve">SC096400</t>
  </si>
  <si>
    <t xml:space="preserve">Dec 14, 2007</t>
  </si>
  <si>
    <t xml:space="preserve">Hon. Norman P. Tarle</t>
  </si>
  <si>
    <t xml:space="preserve">https://trellis.law/case/sc096400/stephen-t-sohmer-vs-deidre-ann-hall-et-al</t>
  </si>
  <si>
    <t xml:space="preserve">NADER ESKANDARI ET AL VS NASA LLC ET AL</t>
  </si>
  <si>
    <t xml:space="preserve">BC258168</t>
  </si>
  <si>
    <t xml:space="preserve">Sep 19, 2001</t>
  </si>
  <si>
    <t xml:space="preserve">Hon. Owen Lee Kwong</t>
  </si>
  <si>
    <t xml:space="preserve">https://trellis.law/case/bc258168/nader-eskandari-et-al-vs-nasa-llc-et-al</t>
  </si>
  <si>
    <t xml:space="preserve">ISABEL CRISTINA BOHORQUEZ VS WIKKED ENTERTAINMENT ET AL</t>
  </si>
  <si>
    <t xml:space="preserve">BC718344</t>
  </si>
  <si>
    <t xml:space="preserve">Aug 20, 2018</t>
  </si>
  <si>
    <t xml:space="preserve">Hon. Patricia Nieto</t>
  </si>
  <si>
    <t xml:space="preserve">https://trellis.law/case/bc718344/isabel-cristina-bohorquez-vs-wikked-entertainment-et-al</t>
  </si>
  <si>
    <t xml:space="preserve">BOND 330 UNION LLC VS ALPHA CONSTRUCTION CO INC ET AL</t>
  </si>
  <si>
    <t xml:space="preserve">BC691274</t>
  </si>
  <si>
    <t xml:space="preserve">Jan 24, 2018</t>
  </si>
  <si>
    <t xml:space="preserve">https://trellis.law/case/bc691274/bond-330-union-llc-vs-alpha-construction-co-inc-et-al</t>
  </si>
  <si>
    <t xml:space="preserve">TURNER TENNEY VS FAZE CLAN INC., A DELAWARE CORPORATION</t>
  </si>
  <si>
    <t xml:space="preserve">19STCV17341</t>
  </si>
  <si>
    <t xml:space="preserve">May 20, 2019</t>
  </si>
  <si>
    <t xml:space="preserve">https://trellis.law/case/19stcv17341/turner-tenney-vs-faze-clan-inc-a-delaware-corporation</t>
  </si>
  <si>
    <t xml:space="preserve">LEONCIO JAUDALSO VS DAVID BOBADILLA</t>
  </si>
  <si>
    <t xml:space="preserve">NC053141</t>
  </si>
  <si>
    <t xml:space="preserve">Jun 18, 2009</t>
  </si>
  <si>
    <t xml:space="preserve">Hon. Patrick T. Madden</t>
  </si>
  <si>
    <t xml:space="preserve">Governor George Deukmejian Courthouse</t>
  </si>
  <si>
    <t xml:space="preserve">https://trellis.law/case/nc053141/leoncio-jaudalso-vs-david-bobadilla</t>
  </si>
  <si>
    <t xml:space="preserve">ESTATE OF SUSAN B. LANDAU, ET AL. VS. CHRISTOPHER HOHLLIER</t>
  </si>
  <si>
    <t xml:space="preserve">EC067521</t>
  </si>
  <si>
    <t xml:space="preserve">Hon. Ralph C. Hofer</t>
  </si>
  <si>
    <t xml:space="preserve">https://trellis.law/case/ec067521/estate-susan-b-landau-et-al-vs-christopher-hohllier</t>
  </si>
  <si>
    <t xml:space="preserve">UNITED TALENT AGENCY INC VS DOES 1 THROUGH 50</t>
  </si>
  <si>
    <t xml:space="preserve">BC439579</t>
  </si>
  <si>
    <t xml:space="preserve">Jun 14, 2010</t>
  </si>
  <si>
    <t xml:space="preserve">Hon. Ralph W. Dau</t>
  </si>
  <si>
    <t xml:space="preserve">https://trellis.law/case/bc439579/united-talent-agency-inc-vs-does-1-through-50</t>
  </si>
  <si>
    <t xml:space="preserve">TONY HAWK INC VS PRIME ENTERTAINMENT INC</t>
  </si>
  <si>
    <t xml:space="preserve">BC440393</t>
  </si>
  <si>
    <t xml:space="preserve">Jun 24, 2010</t>
  </si>
  <si>
    <t xml:space="preserve">https://trellis.law/case/bc440393/tony-hawk-inc-vs-prime-entertainment-inc</t>
  </si>
  <si>
    <t xml:space="preserve">ARDINVEST CONCERN LLC ET AL VS ENGLEWOOD CAPITAL LLC ET AL</t>
  </si>
  <si>
    <t xml:space="preserve">BC298212</t>
  </si>
  <si>
    <t xml:space="preserve">Jun 27, 2003</t>
  </si>
  <si>
    <t xml:space="preserve">https://trellis.law/case/bc298212/ardinvest-concern-llc-et-al-vs-englewood-capital-llc-et-al</t>
  </si>
  <si>
    <t xml:space="preserve">6400 SUNSET, LLC, A DELAWARE LIMITED LIABILITY COMPANY VS HOLLYWOOD AMOEBA, INC., A CALIFORNIA CORPORATION, ET AL.</t>
  </si>
  <si>
    <t xml:space="preserve">20STCV27039</t>
  </si>
  <si>
    <t xml:space="preserve">Jul 17, 2020</t>
  </si>
  <si>
    <t xml:space="preserve">Hon. Randolph M. Hammock</t>
  </si>
  <si>
    <t xml:space="preserve">https://trellis.law/case/20stcv27039/6400-sunset-llc-a-delaware-limited-liability-company-vs-hollywood-amoeba-inc-a-california-corporation-et-al</t>
  </si>
  <si>
    <t xml:space="preserve">RIORDAN &amp; MCKENZIE VS VOLUMEBURY INC</t>
  </si>
  <si>
    <t xml:space="preserve">BC249678</t>
  </si>
  <si>
    <t xml:space="preserve">May 01, 2001</t>
  </si>
  <si>
    <t xml:space="preserve">Hon. Ray L. Hart</t>
  </si>
  <si>
    <t xml:space="preserve">https://trellis.law/case/bc249678/riordan-mckenzie-vs-volumebury-inc</t>
  </si>
  <si>
    <t xml:space="preserve">V HICKLE INC VS SEWER RODDING EQUIPMENT COMPANY</t>
  </si>
  <si>
    <t xml:space="preserve">BC172143</t>
  </si>
  <si>
    <t xml:space="preserve">Jun 02, 1997</t>
  </si>
  <si>
    <t xml:space="preserve">Hon. Ricardo A. Torres</t>
  </si>
  <si>
    <t xml:space="preserve">https://trellis.law/case/bc172143/v-hickle-inc-vs-sewer-rodding-equipment-company</t>
  </si>
  <si>
    <t xml:space="preserve">BANCO POPULAR NORTH AMERICA VS ESTEEMED PLUMBING</t>
  </si>
  <si>
    <t xml:space="preserve">LC082333</t>
  </si>
  <si>
    <t xml:space="preserve">Aug 11, 2008</t>
  </si>
  <si>
    <t xml:space="preserve">Hon. Richard A. Adler</t>
  </si>
  <si>
    <t xml:space="preserve">https://trellis.law/case/lc082333/banco-popular-north-america-vs-esteemed-plumbing</t>
  </si>
  <si>
    <t xml:space="preserve">THE COMMERCIAL FINANCE GROUP VS MONDO MARMI, INC., ET AL</t>
  </si>
  <si>
    <t xml:space="preserve">LC063151</t>
  </si>
  <si>
    <t xml:space="preserve">https://trellis.law/case/lc063151/commercial-finance-group-vs-mondo-marmi-inc-et-al</t>
  </si>
  <si>
    <t xml:space="preserve">PICKFORD REALTY LTD VS FORTUNA SERVICE CORP.</t>
  </si>
  <si>
    <t xml:space="preserve">LC074998</t>
  </si>
  <si>
    <t xml:space="preserve">Jun 19, 2006</t>
  </si>
  <si>
    <t xml:space="preserve">Hon. Richard B. Wolfe</t>
  </si>
  <si>
    <t xml:space="preserve">https://trellis.law/case/lc074998/pickford-realty-ltd-vs-fortuna-service-corp</t>
  </si>
  <si>
    <t xml:space="preserve">PARIS PHOTO LAB VS EDWARD STEIN</t>
  </si>
  <si>
    <t xml:space="preserve">BC242445</t>
  </si>
  <si>
    <t xml:space="preserve">Dec 28, 2000</t>
  </si>
  <si>
    <t xml:space="preserve">Hon. Richard C. Hubbell</t>
  </si>
  <si>
    <t xml:space="preserve">https://trellis.law/case/bc242445/paris-photo-lab-vs-edward-stein</t>
  </si>
  <si>
    <t xml:space="preserve">PETER SCHULTZ VS DAVID MILLER ET AL</t>
  </si>
  <si>
    <t xml:space="preserve">BC441212</t>
  </si>
  <si>
    <t xml:space="preserve">Jul 07, 2010</t>
  </si>
  <si>
    <t xml:space="preserve">Hon. Richard Edward Rico</t>
  </si>
  <si>
    <t xml:space="preserve">https://trellis.law/case/bc441212/peter-schultz-vs-david-miller-et-al</t>
  </si>
  <si>
    <t xml:space="preserve">LEVINE LEICHTMAN CAPITAL PARTNERS II, L.P., A CALIFORNIA LIMITED PARTNERSHIP VS INTERDENT, INC., A DELAWARE CORPORATION, ET AL.</t>
  </si>
  <si>
    <t xml:space="preserve">19STCV29906</t>
  </si>
  <si>
    <t xml:space="preserve">Aug 23, 2019</t>
  </si>
  <si>
    <t xml:space="preserve">Hon. Richard J. Burdge, Jr.</t>
  </si>
  <si>
    <t xml:space="preserve">https://trellis.law/case/19stcv29906/levine-leichtman-capital-partners-ii-l-p-a-california-limited-partnership-vs-interdent-inc-a-delaware-corporation-et-al</t>
  </si>
  <si>
    <t xml:space="preserve">CHORUS LINE CORPORATION VS SHELDON KARLSTEIN</t>
  </si>
  <si>
    <t xml:space="preserve">BC214689</t>
  </si>
  <si>
    <t xml:space="preserve">Aug 05, 1999</t>
  </si>
  <si>
    <t xml:space="preserve">Hon. Richard L. Fruin, Jr.</t>
  </si>
  <si>
    <t xml:space="preserve">https://trellis.law/case/bc214689/chorus-line-corporation-vs-sheldon-karlstein</t>
  </si>
  <si>
    <t xml:space="preserve">DREIER STEIN KAHAN BROWNE WOODS GEORGE LLP VS WAYNE PLATT</t>
  </si>
  <si>
    <t xml:space="preserve">BC434474</t>
  </si>
  <si>
    <t xml:space="preserve">https://trellis.law/case/bc434474/dreier-stein-kahan-browne-woods-george-llp-vs-wayne-platt</t>
  </si>
  <si>
    <t xml:space="preserve">DREIER STEIN KAHAN BROWNE WOODS GEORGE LLP ET AL VS BGMP PIC</t>
  </si>
  <si>
    <t xml:space="preserve">BC458134</t>
  </si>
  <si>
    <t xml:space="preserve">https://trellis.law/case/bc458134/dreier-stein-kahan-browne-woods-george-llp-et-al-vs-bgmp-pic</t>
  </si>
  <si>
    <t xml:space="preserve">S P DAS ENTERPRISES LLC VS BLISS MEDIA LTD ET AL</t>
  </si>
  <si>
    <t xml:space="preserve">BC635971</t>
  </si>
  <si>
    <t xml:space="preserve">https://trellis.law/case/bc635971/s-p-das-enterprises-llc-vs-bliss-media-ltd-et-al</t>
  </si>
  <si>
    <t xml:space="preserve">DAVID FUCHS VS ABRAHAM SALTIEL ET AL</t>
  </si>
  <si>
    <t xml:space="preserve">BC493028</t>
  </si>
  <si>
    <t xml:space="preserve">Sep 28, 2012</t>
  </si>
  <si>
    <t xml:space="preserve">https://trellis.law/case/bc493028/david-fuchs-vs-abraham-saltiel-et-al</t>
  </si>
  <si>
    <t xml:space="preserve">CHRISTINA PRICE VS GLOBAL ARTISTS AGENCY LLC</t>
  </si>
  <si>
    <t xml:space="preserve">BS148825</t>
  </si>
  <si>
    <t xml:space="preserve">May 19, 2014</t>
  </si>
  <si>
    <t xml:space="preserve">Hon. Rita J. Miller</t>
  </si>
  <si>
    <t xml:space="preserve">General Labor</t>
  </si>
  <si>
    <t xml:space="preserve">https://trellis.law/case/bs148825/christina-price-vs-global-artists-agency-llc</t>
  </si>
  <si>
    <t xml:space="preserve">SHAY ACCESSORIES INC VS NEVENA BORISSOVA ET AL</t>
  </si>
  <si>
    <t xml:space="preserve">BC635129</t>
  </si>
  <si>
    <t xml:space="preserve">Sep 22, 2016</t>
  </si>
  <si>
    <t xml:space="preserve">https://trellis.law/case/bc635129/shay-accessories-inc-vs-nevena-borissova-et-al</t>
  </si>
  <si>
    <t xml:space="preserve">MERIDIAN SENIOR LIVING, LLC, A DELAWARE LIMITED LIABILITY COMPANY VS IBORROW 525 W. LA PALMA TENANT LLC, A DELAWARE LIMITED LIABILITY COMPANY, ET AL.</t>
  </si>
  <si>
    <t xml:space="preserve">21STCV21678</t>
  </si>
  <si>
    <t xml:space="preserve">Jun 09, 2021</t>
  </si>
  <si>
    <t xml:space="preserve">Hon. Robert Broadbelt III</t>
  </si>
  <si>
    <t xml:space="preserve">https://trellis.law/case/21stcv21678/meridian-senior-living-llc-a-delaware-limited-liability-company-vs-iborrow-525-w-la-palma-tenant-llc-a-delaware-limited-liability-company-et-al</t>
  </si>
  <si>
    <t xml:space="preserve">ALEKSANDRA KAMINSKA VS THE LA ATHLETIC CLUB INC</t>
  </si>
  <si>
    <t xml:space="preserve">BC563243</t>
  </si>
  <si>
    <t xml:space="preserve">Nov 07, 2014</t>
  </si>
  <si>
    <t xml:space="preserve">https://trellis.law/case/bc563243/aleksandra-kaminska-vs-la-athletic-club-inc</t>
  </si>
  <si>
    <t xml:space="preserve">FREEDMAN &amp; TAITELMAN LLP VS MICHAL DAKAR ET AL</t>
  </si>
  <si>
    <t xml:space="preserve">BC453521</t>
  </si>
  <si>
    <t xml:space="preserve">Jan 21, 2011</t>
  </si>
  <si>
    <t xml:space="preserve">Hon. Robert Leslie Hess</t>
  </si>
  <si>
    <t xml:space="preserve">Negligent Breach</t>
  </si>
  <si>
    <t xml:space="preserve">https://trellis.law/case/bc453521/freedman-taitelman-llp-vs-michal-dakar-et-al</t>
  </si>
  <si>
    <t xml:space="preserve">PALMSTAR MEDIA CAPITAL LLC VS LEXJAC LLC ET AL</t>
  </si>
  <si>
    <t xml:space="preserve">BC614223</t>
  </si>
  <si>
    <t xml:space="preserve">Mar 21, 2016</t>
  </si>
  <si>
    <t xml:space="preserve">Stipulated Judgment</t>
  </si>
  <si>
    <t xml:space="preserve">https://trellis.law/case/bc614223/palmstar-media-capital-llc-vs-lexjac-llc-et-al</t>
  </si>
  <si>
    <t xml:space="preserve">DREIER STEIN KAHAN BROWNE WOODS GEORGE LLP ET AL VS NU FLOW</t>
  </si>
  <si>
    <t xml:space="preserve">BC457967</t>
  </si>
  <si>
    <t xml:space="preserve">Mar 22, 2011</t>
  </si>
  <si>
    <t xml:space="preserve">https://trellis.law/case/bc457967/dreier-stein-kahan-browne-woods-george-llp-et-al-vs-nu-flow</t>
  </si>
  <si>
    <t xml:space="preserve">DREIER STEIN KAHAN BROWNE WOODS GEORGE LLP ET AL VS HYTHIAM</t>
  </si>
  <si>
    <t xml:space="preserve">BC446672</t>
  </si>
  <si>
    <t xml:space="preserve">Oct 01, 2010</t>
  </si>
  <si>
    <t xml:space="preserve">https://trellis.law/case/bc446672/dreier-stein-kahan-browne-woods-george-llp-et-al-vs-hythiam</t>
  </si>
  <si>
    <t xml:space="preserve">PALMSTAR MEDIA CAPITAL LLC VS ZERO GRAVITY MANAGEMENT ET AL</t>
  </si>
  <si>
    <t xml:space="preserve">BC560317</t>
  </si>
  <si>
    <t xml:space="preserve">Oct 09, 2014</t>
  </si>
  <si>
    <t xml:space="preserve">https://trellis.law/case/bc560317/palmstar-media-capital-llc-vs-zero-gravity-management-et-al</t>
  </si>
  <si>
    <t xml:space="preserve">FULLER, BRADLEY C VS JENNINGS, MELISSA ANNE</t>
  </si>
  <si>
    <t xml:space="preserve">17STRO02231</t>
  </si>
  <si>
    <t xml:space="preserve">Aug 22, 2017</t>
  </si>
  <si>
    <t xml:space="preserve">Hon. Rolf Michael Treu</t>
  </si>
  <si>
    <t xml:space="preserve">https://trellis.law/case/17stro02231/fuller-bradley-c-vs-jennings-melissa-anne</t>
  </si>
  <si>
    <t xml:space="preserve">PACCAR FINANCIAL CORP VS EDWIN MENDEZ</t>
  </si>
  <si>
    <t xml:space="preserve">BC407512</t>
  </si>
  <si>
    <t xml:space="preserve">Feb 11, 2009</t>
  </si>
  <si>
    <t xml:space="preserve">https://trellis.law/case/bc407512/paccar-financial-corp-vs-edwin-mendez</t>
  </si>
  <si>
    <t xml:space="preserve">EXOTICS COM INC ET AL VS ANDREW MALTIN ET AL</t>
  </si>
  <si>
    <t xml:space="preserve">BC290511</t>
  </si>
  <si>
    <t xml:space="preserve">Jun 01, 2000</t>
  </si>
  <si>
    <t xml:space="preserve">https://trellis.law/case/bc290511/exotics-com-inc-et-al-vs-andrew-maltin-et-al</t>
  </si>
  <si>
    <t xml:space="preserve">FREEDMAN &amp; TAITELMAN LLP VS PATRICK GRAHAM</t>
  </si>
  <si>
    <t xml:space="preserve">BC390281</t>
  </si>
  <si>
    <t xml:space="preserve">May 06, 2008</t>
  </si>
  <si>
    <t xml:space="preserve">https://trellis.law/case/bc390281/freedman-taitelman-llp-vs-patrick-graham</t>
  </si>
  <si>
    <t xml:space="preserve">19STCV41943</t>
  </si>
  <si>
    <t xml:space="preserve">Nov 22, 2019</t>
  </si>
  <si>
    <t xml:space="preserve">https://trellis.law/case/19stcv41943/stanley-black-vs-robert-k-barth-et-al</t>
  </si>
  <si>
    <t xml:space="preserve">DONALD COX VS COUNTRYWIDE HOME LOANS INC ET AL</t>
  </si>
  <si>
    <t xml:space="preserve">BC410968</t>
  </si>
  <si>
    <t xml:space="preserve">Apr 01, 2009</t>
  </si>
  <si>
    <t xml:space="preserve">Hon. Ronald M. Sohigian</t>
  </si>
  <si>
    <t xml:space="preserve">https://trellis.law/case/bc410968/donald-cox-vs-countrywide-home-loans-inc-et-al</t>
  </si>
  <si>
    <t xml:space="preserve">WORLD MISSION SOCIETY CHURCH OF GOD VS DIANE SIMS ET AL</t>
  </si>
  <si>
    <t xml:space="preserve">BC505762</t>
  </si>
  <si>
    <t xml:space="preserve">Apr 12, 2013</t>
  </si>
  <si>
    <t xml:space="preserve">https://trellis.law/case/bc505762/world-mission-society-church-god-vs-diane-sims-et-al</t>
  </si>
  <si>
    <t xml:space="preserve">BANCO POPULAR NORTH AMERICA VS EXTEND YOUR HAIR INC ET AL</t>
  </si>
  <si>
    <t xml:space="preserve">BC397129</t>
  </si>
  <si>
    <t xml:space="preserve">Aug 27, 2008</t>
  </si>
  <si>
    <t xml:space="preserve">https://trellis.law/case/bc397129/banco-popular-north-america-vs-extend-your-hair-inc-et-al</t>
  </si>
  <si>
    <t xml:space="preserve">IZUMI YOKOZAWA VS ALLIANT FOOD SERVICE CORPORATION ET AL</t>
  </si>
  <si>
    <t xml:space="preserve">BC290886</t>
  </si>
  <si>
    <t xml:space="preserve">Feb 24, 2003</t>
  </si>
  <si>
    <t xml:space="preserve">https://trellis.law/case/bc290886/izumi-yokozawa-vs-alliant-food-service-corporation-et-al</t>
  </si>
  <si>
    <t xml:space="preserve">DREIER STEIN KAHAN BROWNE WOODS GEORGE LLP VS NEAH POWER SYS</t>
  </si>
  <si>
    <t xml:space="preserve">BC432899</t>
  </si>
  <si>
    <t xml:space="preserve">https://trellis.law/case/bc432899/dreier-stein-kahan-browne-woods-george-llp-vs-neah-power-sys</t>
  </si>
  <si>
    <t xml:space="preserve">RYAN D. GOLDS VS YARD HOUSE RESTAURANTS, LLC, ET AL</t>
  </si>
  <si>
    <t xml:space="preserve">NC037088</t>
  </si>
  <si>
    <t xml:space="preserve">May 27, 2005</t>
  </si>
  <si>
    <t xml:space="preserve">Hon. Roy L. Paul</t>
  </si>
  <si>
    <t xml:space="preserve">https://trellis.law/case/nc037088/ryan-d-golds-vs-yard-house-restaurants-llc-et-al</t>
  </si>
  <si>
    <t xml:space="preserve">ADITYA SHANKAR VS KEVIN ROSS KOLDE, ET AL.</t>
  </si>
  <si>
    <t xml:space="preserve">21STCV30517</t>
  </si>
  <si>
    <t xml:space="preserve">Aug 18, 2021</t>
  </si>
  <si>
    <t xml:space="preserve">Hon. Rupert A. Byrdsong</t>
  </si>
  <si>
    <t xml:space="preserve">https://trellis.law/case/21stcv30517/aditya-shankar-vs-kevin-ross-kolde-et-al</t>
  </si>
  <si>
    <t xml:space="preserve">HUDSON FIRST FINANCIAL PLAZA VS. MARK J. FRIEDMAN, D.D.S.</t>
  </si>
  <si>
    <t xml:space="preserve">LC101594</t>
  </si>
  <si>
    <t xml:space="preserve">Apr 29, 2014</t>
  </si>
  <si>
    <t xml:space="preserve">Hon. Russell S. Kussman</t>
  </si>
  <si>
    <t xml:space="preserve">https://trellis.law/case/lc101594/hudson-first-financial-plaza-vs-mark-j-friedman-d-d-s</t>
  </si>
  <si>
    <t xml:space="preserve">EVE ELISABETH LEEDHAM VS. SHARON LYNNE BERMAN, ET AL</t>
  </si>
  <si>
    <t xml:space="preserve">LC097740</t>
  </si>
  <si>
    <t xml:space="preserve">Jul 09, 2012</t>
  </si>
  <si>
    <t xml:space="preserve">https://trellis.law/case/lc097740/eve-elisabeth-leedham-vs-sharon-lynne-berman-et-al</t>
  </si>
  <si>
    <t xml:space="preserve">JO CHAMPA VS MICHAEL NATHANSON</t>
  </si>
  <si>
    <t xml:space="preserve">BC483466</t>
  </si>
  <si>
    <t xml:space="preserve">Apr 24, 2012</t>
  </si>
  <si>
    <t xml:space="preserve">Hon. Ruth Ann Kwan</t>
  </si>
  <si>
    <t xml:space="preserve">https://trellis.law/case/bc483466/jo-champa-vs-michael-nathanson</t>
  </si>
  <si>
    <t xml:space="preserve">DREIER STEIN KAHAN BROWNE WOODS GEORGE LLP ET AL VS ANGELA P</t>
  </si>
  <si>
    <t xml:space="preserve">BC477981</t>
  </si>
  <si>
    <t xml:space="preserve">Jan 27, 2012</t>
  </si>
  <si>
    <t xml:space="preserve">https://trellis.law/case/bc477981/dreier-stein-kahan-browne-woods-george-llp-et-al-vs-angela-p</t>
  </si>
  <si>
    <t xml:space="preserve">FREEDMAN + TAITLEMAN LLP VS REGENCY OUTDOORS ADVERTISING INC</t>
  </si>
  <si>
    <t xml:space="preserve">BC527142</t>
  </si>
  <si>
    <t xml:space="preserve">Nov 12, 2013</t>
  </si>
  <si>
    <t xml:space="preserve">https://trellis.law/case/bc527142/freedman-taitleman-llp-vs-regency-outdoors-advertising-inc</t>
  </si>
  <si>
    <t xml:space="preserve">KITTY LIKES TO SCRATCH PRODUCTIONS ET AL VS EVOLUTION ENTERT</t>
  </si>
  <si>
    <t xml:space="preserve">BC558975</t>
  </si>
  <si>
    <t xml:space="preserve">Sep 29, 2014</t>
  </si>
  <si>
    <t xml:space="preserve">https://trellis.law/case/bc558975/kitty-likes-to-scratch-productions-et-al-vs-evolution-entert</t>
  </si>
  <si>
    <t xml:space="preserve">BLG CAPITAL LTD. ET AL VS. MICHAEL SHVO ET AL</t>
  </si>
  <si>
    <t xml:space="preserve">CGC20585461</t>
  </si>
  <si>
    <t xml:space="preserve">Jul 20, 2020</t>
  </si>
  <si>
    <t xml:space="preserve">Hon. Samuel K. Feng</t>
  </si>
  <si>
    <t xml:space="preserve">https://trellis.law/case/cgc20585461/blg-capital-ltd-et-al-vs-michael-shvo-et-al</t>
  </si>
  <si>
    <t xml:space="preserve">TAHLIAH BARNETT VS SHIA LABEOUF</t>
  </si>
  <si>
    <t xml:space="preserve">20STCV47437</t>
  </si>
  <si>
    <t xml:space="preserve">Dec 11, 2020</t>
  </si>
  <si>
    <t xml:space="preserve">Hon. Serena R. Murillo</t>
  </si>
  <si>
    <t xml:space="preserve">https://trellis.law/case/20stcv47437/tahliah-barnett-vs-shia-labeouf</t>
  </si>
  <si>
    <t xml:space="preserve">GARMARR, INC. DBA NEW BEVERLY CINEMA VS GEISNER, NEIL</t>
  </si>
  <si>
    <t xml:space="preserve">19STRO04426</t>
  </si>
  <si>
    <t xml:space="preserve">Hon. Shelley L. Kaufman</t>
  </si>
  <si>
    <t xml:space="preserve">https://trellis.law/case/19stro04426/garmarr-inc-dba-new-beverly-cinema-vs-geisner-neil</t>
  </si>
  <si>
    <t xml:space="preserve">FREEDMAN &amp; TAITELMAN LLP VS STEPHON LOCASCIO ET AL</t>
  </si>
  <si>
    <t xml:space="preserve">BC376277</t>
  </si>
  <si>
    <t xml:space="preserve">Aug 21, 2007</t>
  </si>
  <si>
    <t xml:space="preserve">Hon. Soussan G. Bruguera</t>
  </si>
  <si>
    <t xml:space="preserve">https://trellis.law/case/bc376277/freedman-taitelman-llp-vs-stephon-locascio-et-al</t>
  </si>
  <si>
    <t xml:space="preserve">JOHN MOZART VS CM WRIGHT INCORPORATED ET AL</t>
  </si>
  <si>
    <t xml:space="preserve">BC431699</t>
  </si>
  <si>
    <t xml:space="preserve">Feb 11, 2010</t>
  </si>
  <si>
    <t xml:space="preserve">https://trellis.law/case/bc431699/john-mozart-vs-cm-wright-incorporated-et-al</t>
  </si>
  <si>
    <t xml:space="preserve">LESLIE SHATUM VS BRYAN J FREEDMAN ET AL</t>
  </si>
  <si>
    <t xml:space="preserve">BC316478</t>
  </si>
  <si>
    <t xml:space="preserve">Jun 02, 2004</t>
  </si>
  <si>
    <t xml:space="preserve">https://trellis.law/case/bc316478/leslie-shatum-vs-bryan-j-freedman-et-al</t>
  </si>
  <si>
    <t xml:space="preserve">BANCO POPULAR NORTH AMERICA VS GATHER JEAN INC ET AL</t>
  </si>
  <si>
    <t xml:space="preserve">BC394614</t>
  </si>
  <si>
    <t xml:space="preserve">Oct 01, 2007</t>
  </si>
  <si>
    <t xml:space="preserve">https://trellis.law/case/bc394614/banco-popular-north-america-vs-gather-jean-inc-et-al</t>
  </si>
  <si>
    <t xml:space="preserve">MARYANN MOODY, ET AL VS LEGACY PARTNERS INC., ET AL</t>
  </si>
  <si>
    <t xml:space="preserve">LC062170</t>
  </si>
  <si>
    <t xml:space="preserve">Sep 11, 2002</t>
  </si>
  <si>
    <t xml:space="preserve">Hon. Stanley M. Weisberg</t>
  </si>
  <si>
    <t xml:space="preserve">https://trellis.law/case/lc062170/maryann-moody-et-al-vs-legacy-partners-inc-et-al</t>
  </si>
  <si>
    <t xml:space="preserve">EHMM LLC VS DOES 1 THROUGH 20</t>
  </si>
  <si>
    <t xml:space="preserve">BC677786</t>
  </si>
  <si>
    <t xml:space="preserve">Sep 28, 2017</t>
  </si>
  <si>
    <t xml:space="preserve">Hon. Stephanie M. Bowick</t>
  </si>
  <si>
    <t xml:space="preserve">https://trellis.law/case/bc677786/ehmm-llc-vs-does-1-through-20</t>
  </si>
  <si>
    <t xml:space="preserve">PACCAR FINANCIAL CORPORATION  VS.  JIMMY CANNON, ET-AL</t>
  </si>
  <si>
    <t xml:space="preserve">TC022548</t>
  </si>
  <si>
    <t xml:space="preserve">Hon. Stephen M. Lowry</t>
  </si>
  <si>
    <t xml:space="preserve">Compton Courthouse</t>
  </si>
  <si>
    <t xml:space="preserve">https://trellis.law/case/tc022548/paccar-financial-corporation-vs-jimmy-cannon-et-al</t>
  </si>
  <si>
    <t xml:space="preserve">FREEDMAN + TAITELMAN, LLP VS PARK, YOUNG</t>
  </si>
  <si>
    <t xml:space="preserve">PC058418</t>
  </si>
  <si>
    <t xml:space="preserve">Hon. Stephen P. Pfahler</t>
  </si>
  <si>
    <t xml:space="preserve">https://trellis.law/case/pc058418/freedman-taitelman-llp-vs-park-young</t>
  </si>
  <si>
    <t xml:space="preserve">ALBERT GHAWI VS. CARAUSTAR RECOVERED FIBER GROUP INC</t>
  </si>
  <si>
    <t xml:space="preserve">PC057613</t>
  </si>
  <si>
    <t xml:space="preserve">Mar 07, 2017</t>
  </si>
  <si>
    <t xml:space="preserve">https://trellis.law/case/pc057613/albert-ghawi-vs-caraustar-recovered-fiber-group-inc</t>
  </si>
  <si>
    <t xml:space="preserve">JANICE CLARK, MS. VS COURTNEY SEASHOLS</t>
  </si>
  <si>
    <t xml:space="preserve">21STCV16804</t>
  </si>
  <si>
    <t xml:space="preserve">May 04, 2021</t>
  </si>
  <si>
    <t xml:space="preserve">Hon. Steven J. Kleifield</t>
  </si>
  <si>
    <t xml:space="preserve">https://trellis.law/case/21stcv16804/janice-clark-ms-vs-courtney-seashols</t>
  </si>
  <si>
    <t xml:space="preserve">PRIMARY WAVE ENTERTAINMENT LLC, VS ANDREA JOY COOK, ET AL.</t>
  </si>
  <si>
    <t xml:space="preserve">18STCV02546</t>
  </si>
  <si>
    <t xml:space="preserve">https://trellis.law/case/18stcv02546/primary-wave-entertainment-llc-vs-andrea-joy-cook-et-al</t>
  </si>
  <si>
    <t xml:space="preserve">JOSEPH HANDLEMAN ET AL VS TIMOTHY CORRIGAN ET AL</t>
  </si>
  <si>
    <t xml:space="preserve">BC478093</t>
  </si>
  <si>
    <t xml:space="preserve">Jan 31, 2012</t>
  </si>
  <si>
    <t xml:space="preserve">Hon. Susan Bryant-Deason</t>
  </si>
  <si>
    <t xml:space="preserve">https://trellis.law/case/bc478093/joseph-handleman-et-al-vs-timothy-corrigan-et-al</t>
  </si>
  <si>
    <t xml:space="preserve">UNITED TALENT AGENCY INC VS MYRKA DELLANOS</t>
  </si>
  <si>
    <t xml:space="preserve">BC394990</t>
  </si>
  <si>
    <t xml:space="preserve">Jul 23, 2008</t>
  </si>
  <si>
    <t xml:space="preserve">https://trellis.law/case/bc394990/united-talent-agency-inc-vs-myrka-dellanos</t>
  </si>
  <si>
    <t xml:space="preserve">UNITED TALENT AGENCY INC VS ADAM HERZ ET AL</t>
  </si>
  <si>
    <t xml:space="preserve">BC461108</t>
  </si>
  <si>
    <t xml:space="preserve">May 10, 2011</t>
  </si>
  <si>
    <t xml:space="preserve">https://trellis.law/case/bc461108/united-talent-agency-inc-vs-adam-herz-et-al</t>
  </si>
  <si>
    <t xml:space="preserve">BRANDON VAYDA, ET AL. VS NAWAF ALGHANIM, ET AL.</t>
  </si>
  <si>
    <t xml:space="preserve">19STCV17161</t>
  </si>
  <si>
    <t xml:space="preserve">May 16, 2019</t>
  </si>
  <si>
    <t xml:space="preserve">https://trellis.law/case/19stcv17161/brandon-vayda-et-al-vs-nawaf-alghanim-et-al</t>
  </si>
  <si>
    <t xml:space="preserve">SHERRY ROSTAMI DC THE GHASSEMLOU FAMILY TRUST VS ERICK F CAR</t>
  </si>
  <si>
    <t xml:space="preserve">BC400747</t>
  </si>
  <si>
    <t xml:space="preserve">Oct 27, 2008</t>
  </si>
  <si>
    <t xml:space="preserve">https://trellis.law/case/bc400747/sherry-rostami-dc-ghassemlou-family-trust-vs-erick-f-car</t>
  </si>
  <si>
    <t xml:space="preserve">BANCO POPULAR NORTH AMERICA VS MONEY ALLEY INC ET AL</t>
  </si>
  <si>
    <t xml:space="preserve">BC397972</t>
  </si>
  <si>
    <t xml:space="preserve">https://trellis.law/case/bc397972/banco-popular-north-america-vs-money-alley-inc-et-al</t>
  </si>
  <si>
    <t xml:space="preserve">JOHNSON CONTROLS FIRE PROTECTION LP VS RAMLAND DEVELOPMENT</t>
  </si>
  <si>
    <t xml:space="preserve">19STCV20183</t>
  </si>
  <si>
    <t xml:space="preserve">Jun 10, 2019</t>
  </si>
  <si>
    <t xml:space="preserve">Hon. Teresa A. Beaudet</t>
  </si>
  <si>
    <t xml:space="preserve">https://trellis.law/case/19stcv20183/johnson-controls-fire-protection-lp-vs-ramland-development</t>
  </si>
  <si>
    <t xml:space="preserve">SYLMARK INC ET AL VS STAR MEDIA ET AL</t>
  </si>
  <si>
    <t xml:space="preserve">BC351401</t>
  </si>
  <si>
    <t xml:space="preserve">Apr 26, 2006</t>
  </si>
  <si>
    <t xml:space="preserve">Hon. Terry A. Green</t>
  </si>
  <si>
    <t xml:space="preserve">https://trellis.law/case/bc351401/sylmark-inc-et-al-vs-star-media-et-al</t>
  </si>
  <si>
    <t xml:space="preserve">R SQUARED ASSET GROUP LLC VS AMERICANA GLENDALE INC ET AL</t>
  </si>
  <si>
    <t xml:space="preserve">BC474508</t>
  </si>
  <si>
    <t xml:space="preserve">Dec 02, 2011</t>
  </si>
  <si>
    <t xml:space="preserve">https://trellis.law/case/bc474508/r-squared-asset-group-llc-vs-americana-glendale-inc-et-al</t>
  </si>
  <si>
    <t xml:space="preserve">BUKI SUHL VS AMERICAN EXPRESS CAR WASH, INC.</t>
  </si>
  <si>
    <t xml:space="preserve">18STCV00997</t>
  </si>
  <si>
    <t xml:space="preserve">Oct 16, 2018</t>
  </si>
  <si>
    <t xml:space="preserve">https://trellis.law/case/18stcv00997/buki-suhl-vs-american-express-car-wash-inc</t>
  </si>
  <si>
    <t xml:space="preserve">JOHN C DEPP II ET AL VS BLOOM HERGOTT DIEMER ET AL</t>
  </si>
  <si>
    <t xml:space="preserve">BC680066</t>
  </si>
  <si>
    <t xml:space="preserve">Oct 17, 2017</t>
  </si>
  <si>
    <t xml:space="preserve">https://trellis.law/case/bc680066/john-c-depp-ii-et-al-vs-bloom-hergott-diemer-et-al</t>
  </si>
  <si>
    <t xml:space="preserve">JOHN DOE VS DOES 1 THROUGH 25</t>
  </si>
  <si>
    <t xml:space="preserve">BC468926</t>
  </si>
  <si>
    <t xml:space="preserve">Sep 06, 2011</t>
  </si>
  <si>
    <t xml:space="preserve">https://trellis.law/case/bc468926/john-doe-vs-does-1-through-25</t>
  </si>
  <si>
    <t xml:space="preserve">AMERICAN EXPRESS CAR WASH VS BUKI SUHL</t>
  </si>
  <si>
    <t xml:space="preserve">BC723396</t>
  </si>
  <si>
    <t xml:space="preserve">Sep 26, 2018</t>
  </si>
  <si>
    <t xml:space="preserve">https://trellis.law/case/bc723396/american-express-car-wash-vs-buki-suhl</t>
  </si>
  <si>
    <t xml:space="preserve">RAWLINGER HOLDINGS LLC ET AL VS ACHIEVE MARKETING LLC ET AL</t>
  </si>
  <si>
    <t xml:space="preserve">BC596276</t>
  </si>
  <si>
    <t xml:space="preserve">Sep 29, 2015</t>
  </si>
  <si>
    <t xml:space="preserve">https://trellis.law/case/bc596276/rawlinger-holdings-llc-et-al-vs-achieve-marketing-llc-et-al</t>
  </si>
  <si>
    <t xml:space="preserve">BO-D-BRO, INC., A CALIFORNIA CORPORATION VS ESSEY CONSTRUCTION COMPANY, INC., A CALIFORNIA CORPORATION, ET AL.</t>
  </si>
  <si>
    <t xml:space="preserve">23STCV18179</t>
  </si>
  <si>
    <t xml:space="preserve">Aug 01, 2023</t>
  </si>
  <si>
    <t xml:space="preserve">Hon. Theresa M. Traber</t>
  </si>
  <si>
    <t xml:space="preserve">https://trellis.law/case/23stcv18179/bo-d-bro-inc-a-california-corporation-vs-essey-construction-company-inc-a-california-corporation-et-al</t>
  </si>
  <si>
    <t xml:space="preserve">NICOLE YOUNG VS ANDRE ROMELL YOUNG, ET AL.</t>
  </si>
  <si>
    <t xml:space="preserve">20STCV35750</t>
  </si>
  <si>
    <t xml:space="preserve">Sep 18, 2020</t>
  </si>
  <si>
    <t xml:space="preserve">https://trellis.law/case/20stcv35750/nicole-young-vs-andre-romell-young-et-al</t>
  </si>
  <si>
    <t xml:space="preserve">FAITH STOWERS, AN INDIVIDUAL VS NBCUNIVERSAL MEDIA, LLC, A DELAWARE LIMITED LIABILITY COMPANY, ET AL.</t>
  </si>
  <si>
    <t xml:space="preserve">24STCV08574</t>
  </si>
  <si>
    <t xml:space="preserve">Apr 05, 2024</t>
  </si>
  <si>
    <t xml:space="preserve">Hon. Thomas D. Long</t>
  </si>
  <si>
    <t xml:space="preserve">https://trellis.law/case/24stcv08574/faith-stowers-an-individual-vs-nbcuniversal-media-llc-a-delaware-limited-liability-company-et-al</t>
  </si>
  <si>
    <t xml:space="preserve">SOUTHLAND LAND CORP. VS TOWNE CENTER PLAZA, LLC</t>
  </si>
  <si>
    <t xml:space="preserve">VC047162</t>
  </si>
  <si>
    <t xml:space="preserve">Aug 17, 2006</t>
  </si>
  <si>
    <t xml:space="preserve">Hon. Thomas I. McKnew, Jr.</t>
  </si>
  <si>
    <t xml:space="preserve">https://trellis.law/case/vc047162/southland-land-corp-vs-towne-center-plaza-llc</t>
  </si>
  <si>
    <t xml:space="preserve">FREEDMAN TAITELMAN LLP VS BOL BOL</t>
  </si>
  <si>
    <t xml:space="preserve">BD653901</t>
  </si>
  <si>
    <t xml:space="preserve">Feb 08, 2017</t>
  </si>
  <si>
    <t xml:space="preserve">Hon. Thomas T. Lewis</t>
  </si>
  <si>
    <t xml:space="preserve">https://trellis.law/case/bd653901/freedman-taitelman-llp-vs-bol-bol</t>
  </si>
  <si>
    <t xml:space="preserve">PFN LENDING GROUP, INC., A CALIFORNIA CORPORATION VS HOME BASE APPRAISAL MANAGEMENT, LLC, A UTAH LIMITED LIABILITY COMPANY</t>
  </si>
  <si>
    <t xml:space="preserve">22STCV37410</t>
  </si>
  <si>
    <t xml:space="preserve">Nov 29, 2022</t>
  </si>
  <si>
    <t xml:space="preserve">Hon. Timothy P. Dillon</t>
  </si>
  <si>
    <t xml:space="preserve">https://trellis.law/case/22stcv37410/pfn-lending-group-inc-a-california-corporation-vs-home-base-appraisal-management-llc-a-utah-limited-liability-company</t>
  </si>
  <si>
    <t xml:space="preserve">JERI CONARD KENNEDY, ET AL VS. CEDRIC SARNOFF</t>
  </si>
  <si>
    <t xml:space="preserve">BC182004</t>
  </si>
  <si>
    <t xml:space="preserve">Nov 26, 1997</t>
  </si>
  <si>
    <t xml:space="preserve">Hon. Victor E. Chavez</t>
  </si>
  <si>
    <t xml:space="preserve">https://trellis.law/case/bc182004/jeri-conard-kennedy-et-al-vs-cedric-sarnoff</t>
  </si>
  <si>
    <t xml:space="preserve">STARSTRUCK MANAGEMENT GROUP, LLC, ET AL. VS KELLY BLACKSTOCK, ET AL.</t>
  </si>
  <si>
    <t xml:space="preserve">23STCP04379</t>
  </si>
  <si>
    <t xml:space="preserve">Dec 01, 2023</t>
  </si>
  <si>
    <t xml:space="preserve">Hon. Wendy Chang</t>
  </si>
  <si>
    <t xml:space="preserve">https://trellis.law/case/23stcp04379/starstruck-management-group-llc-et-al-vs-kelly-blackstock-et-al</t>
  </si>
  <si>
    <t xml:space="preserve">FREEDMAN &amp; TAITELMAN, LLP VS PETER H. COMISAR</t>
  </si>
  <si>
    <t xml:space="preserve">24STCP00948</t>
  </si>
  <si>
    <t xml:space="preserve">Mar 25, 2024</t>
  </si>
  <si>
    <t xml:space="preserve">https://trellis.law/case/24stcp00948/freedman-taitelman-llp-vs-peter-h-comisar</t>
  </si>
  <si>
    <t xml:space="preserve">STARSTRUCK MANAGEMENT GROUP, LLC, A TENNESSEE LIMITED LIABILITY COMPANY VS KELLY CLARKSON, ET AL.</t>
  </si>
  <si>
    <t xml:space="preserve">20STCV37081</t>
  </si>
  <si>
    <t xml:space="preserve">Sep 29, 2020</t>
  </si>
  <si>
    <t xml:space="preserve">https://trellis.law/case/20stcv37081/starstruck-management-group-llc-a-tennessee-limited-liability-company-vs-kelly-clarkson-et-al</t>
  </si>
  <si>
    <t xml:space="preserve">SEEMYUN KYMM VS DRAGON PROPERTY, INC.</t>
  </si>
  <si>
    <t xml:space="preserve">VC049155</t>
  </si>
  <si>
    <t xml:space="preserve">Jul 26, 2007</t>
  </si>
  <si>
    <t xml:space="preserve">Hon. William A. Allen</t>
  </si>
  <si>
    <t xml:space="preserve">https://trellis.law/case/vc049155/seemyun-kymm-vs-dragon-property-inc</t>
  </si>
  <si>
    <t xml:space="preserve">RYAN ANDRU DAVIES, ET AL. VS SLOAN P.  MARTIN, ET AL.</t>
  </si>
  <si>
    <t xml:space="preserve">19BBCV00130</t>
  </si>
  <si>
    <t xml:space="preserve">Feb 13, 2019</t>
  </si>
  <si>
    <t xml:space="preserve">Hon. William D. Stewart</t>
  </si>
  <si>
    <t xml:space="preserve">https://trellis.law/case/19bbcv00130/ryan-andru-davies-et-al-vs-sloan-p-martin-et-al</t>
  </si>
  <si>
    <t xml:space="preserve">ENCORE CASES INCORPORATED VS. JESUS AGUILERA</t>
  </si>
  <si>
    <t xml:space="preserve">EC066722</t>
  </si>
  <si>
    <t xml:space="preserve">May 05, 2017</t>
  </si>
  <si>
    <t xml:space="preserve">https://trellis.law/case/ec066722/encore-cases-incorporated-vs-jesus-aguilera</t>
  </si>
  <si>
    <t xml:space="preserve">HERRICK PRODUCTIONS LLC VS MATTEL INC</t>
  </si>
  <si>
    <t xml:space="preserve">BC689290</t>
  </si>
  <si>
    <t xml:space="preserve">Jan 08, 2018</t>
  </si>
  <si>
    <t xml:space="preserve">Hon. William F. Fahey</t>
  </si>
  <si>
    <t xml:space="preserve">https://trellis.law/case/bc689290/herrick-productions-llc-vs-mattel-inc</t>
  </si>
  <si>
    <t xml:space="preserve">MEIR GURVITZ VS SHERYL MANDELBAUM, ET AL.</t>
  </si>
  <si>
    <t xml:space="preserve">19STCV32349</t>
  </si>
  <si>
    <t xml:space="preserve">Sep 11, 2019</t>
  </si>
  <si>
    <t xml:space="preserve">https://trellis.law/case/19stcv32349/meir-gurvitz-vs-sheryl-mandelbaum-et-al</t>
  </si>
  <si>
    <t xml:space="preserve">LOS ROBLES BANK VS DONALD R HENDERSON</t>
  </si>
  <si>
    <t xml:space="preserve">BC246413</t>
  </si>
  <si>
    <t xml:space="preserve">Mar 08, 2001</t>
  </si>
  <si>
    <t xml:space="preserve">Hon. William F. Highberger</t>
  </si>
  <si>
    <t xml:space="preserve">https://trellis.law/case/bc246413/los-robles-bank-vs-donald-r-henderson</t>
  </si>
  <si>
    <t xml:space="preserve">MARATHON STRUCTURED FINANCE VS. PALI-LINCOLN, LLC</t>
  </si>
  <si>
    <t xml:space="preserve">YC059236</t>
  </si>
  <si>
    <t xml:space="preserve">Mar 05, 2009</t>
  </si>
  <si>
    <t xml:space="preserve">Hon. William G. Willett</t>
  </si>
  <si>
    <t xml:space="preserve">https://trellis.law/case/yc059236/marathon-structured-finance-vs-pali-lincoln-llc</t>
  </si>
  <si>
    <t xml:space="preserve">ROB MOORE, ET AL. VS MICHAEL NEARY, ET AL.</t>
  </si>
  <si>
    <t xml:space="preserve">19STCV26834</t>
  </si>
  <si>
    <t xml:space="preserve">Aug 01, 2019</t>
  </si>
  <si>
    <t xml:space="preserve">Hon. Yolanda Orozco</t>
  </si>
  <si>
    <t xml:space="preserve">https://trellis.law/case/19stcv26834/rob-moore-et-al-vs-michael-neary-et-al</t>
  </si>
  <si>
    <t xml:space="preserve">NREA-TRC 700 , LLC, A DELAWARE LIMITED LIABILITY COMPANY VS FITNESS INTERNATIONAL, LLC, A CALIFORNIA LIMITED LIABILITY COMPANY</t>
  </si>
  <si>
    <t xml:space="preserve">21STCV31893</t>
  </si>
  <si>
    <t xml:space="preserve">Aug 27, 2021</t>
  </si>
  <si>
    <t xml:space="preserve">https://trellis.law/case/21stcv31893/nrea-trc-700-llc-a-delaware-limited-liability-company-vs-fitness-international-llc-a-california-limited-liability-company</t>
  </si>
  <si>
    <t xml:space="preserve">NATIONAL PROMOTIONS AND ADVERTISING, INC.,, ET AL. VS NATIONAL SURETY CORPORATION,, ET AL.</t>
  </si>
  <si>
    <t xml:space="preserve">20STCV35452</t>
  </si>
  <si>
    <t xml:space="preserve">Sep 16, 2020</t>
  </si>
  <si>
    <t xml:space="preserve">Insurance Coverage</t>
  </si>
  <si>
    <t xml:space="preserve">https://trellis.law/case/20stcv35452/national-promotions-advertising-inc-et-al-vs-national-surety-corporation-et-al</t>
  </si>
  <si>
    <t xml:space="preserve">ROYAL CREST CONSTRUCTION INC VS VILLA CATALINA LLC</t>
  </si>
  <si>
    <t xml:space="preserve">BC374272</t>
  </si>
  <si>
    <t xml:space="preserve">Apr 01, 2007</t>
  </si>
  <si>
    <t xml:space="preserve">Hon. Yvette M. Palazuelos</t>
  </si>
  <si>
    <t xml:space="preserve">https://trellis.law/case/bc374272/royal-crest-construction-inc-vs-villa-catalina-llc</t>
  </si>
  <si>
    <t xml:space="preserve">LUIS ENRIQUE OLIVAS VS PALIHOUSE HOLLOWAY RESIDENCES ASSN</t>
  </si>
  <si>
    <t xml:space="preserve">BC431361</t>
  </si>
  <si>
    <t xml:space="preserve">Feb 05, 2010</t>
  </si>
  <si>
    <t xml:space="preserve">https://trellis.law/case/bc431361/luis-enrique-olivas-vs-palihouse-holloway-residences-assn</t>
  </si>
  <si>
    <t xml:space="preserve">BATTERUP LLC ET AL VS LANDMARK PROPERTIES MANAGEMENT ET AL</t>
  </si>
  <si>
    <t xml:space="preserve">BC588903</t>
  </si>
  <si>
    <t xml:space="preserve">Jul 22, 2015</t>
  </si>
  <si>
    <t xml:space="preserve">https://trellis.law/case/bc588903/batterup-llc-et-al-vs-landmark-properties-management-et-al</t>
  </si>
  <si>
    <t xml:space="preserve">AVI BROSH VS MKA CAPITAL GROUP ADVISORS LLC ET AL</t>
  </si>
  <si>
    <t xml:space="preserve">BC462667</t>
  </si>
  <si>
    <t xml:space="preserve">May 31, 2011</t>
  </si>
  <si>
    <t xml:space="preserve">https://trellis.law/case/bc462667/avi-brosh-vs-mka-capital-group-advisors-llc-et-al</t>
  </si>
  <si>
    <t xml:space="preserve">JOHN VASTAGH, ET AL VS LA ROCCA INSPECTION SYSTEMS,ET AL</t>
  </si>
  <si>
    <t xml:space="preserve">LC066145</t>
  </si>
  <si>
    <t xml:space="preserve">Aug 26, 2003</t>
  </si>
  <si>
    <t xml:space="preserve">https://trellis.law/case/lc066145/john-vastagh-et-al-vs-la-rocca-inspection-systems-et-al</t>
  </si>
  <si>
    <t xml:space="preserve">California Factors &amp; Finance, VS All Architectural Stone Cor</t>
  </si>
  <si>
    <t xml:space="preserve">WG03131656</t>
  </si>
  <si>
    <t xml:space="preserve">Dec 12, 2003</t>
  </si>
  <si>
    <t xml:space="preserve">Alameda County, CA</t>
  </si>
  <si>
    <t xml:space="preserve">https://trellis.law/case/wg03131656/california-factors-finance-vs-all-architectural-stone-cor</t>
  </si>
  <si>
    <t xml:space="preserve">PALACE INVESTMENT CO., INC., A  CALIFORNIA CORPORATION VS ALL UNNAMED OCCUPANTS IN POSSESSION OF THE PREMISES, ET AL.</t>
  </si>
  <si>
    <t xml:space="preserve">22STCV07777</t>
  </si>
  <si>
    <t xml:space="preserve">Feb 28, 2022</t>
  </si>
  <si>
    <t xml:space="preserve">Los Angeles County, CA</t>
  </si>
  <si>
    <t xml:space="preserve">https://trellis.law/case/22stcv07777/palace-investment-co-inc-a-california-corporation-vs-all-unnamed-occupants-in-possession-premises-et-al</t>
  </si>
  <si>
    <t xml:space="preserve">JEFFREY STENFORS VS JUDIT MEDA FEKETE ET AL</t>
  </si>
  <si>
    <t xml:space="preserve">BC346640</t>
  </si>
  <si>
    <t xml:space="preserve">Jan 30, 2006</t>
  </si>
  <si>
    <t xml:space="preserve">https://trellis.law/case/bc346640/jeffrey-stenfors-vs-judit-meda-fekete-et-al</t>
  </si>
  <si>
    <t xml:space="preserve">FREEDMAN + TAITELMAN, LLP VS BRETT ARMSTRONG</t>
  </si>
  <si>
    <t xml:space="preserve">16IWSC00944</t>
  </si>
  <si>
    <t xml:space="preserve">Jul 01, 2016</t>
  </si>
  <si>
    <t xml:space="preserve">Small Claims</t>
  </si>
  <si>
    <t xml:space="preserve">General Small Claims</t>
  </si>
  <si>
    <t xml:space="preserve">https://trellis.law/case/16iwsc00944/freedman-taitelman-llp-vs-brett-armstrong</t>
  </si>
  <si>
    <t xml:space="preserve">BANCO POPULAR-V-THEODORE OWENS Print</t>
  </si>
  <si>
    <t xml:space="preserve">CIVSS810194</t>
  </si>
  <si>
    <t xml:space="preserve">Jul 30, 2008</t>
  </si>
  <si>
    <t xml:space="preserve">San Bernardino County, CA</t>
  </si>
  <si>
    <t xml:space="preserve">https://trellis.law/case/civss810194/banco-popular-v-theodore-owens-print</t>
  </si>
  <si>
    <t xml:space="preserve">CIENA CAPITAL -V- TIMSTOMM INC, ETAL</t>
  </si>
  <si>
    <t xml:space="preserve">CIVRS1006925</t>
  </si>
  <si>
    <t xml:space="preserve">https://trellis.law/case/civrs1006925/ciena-capital-v-timstomm-inc-etal</t>
  </si>
  <si>
    <t xml:space="preserve">FAUSTO C. MOLINA VS. MAX BAGHERI</t>
  </si>
  <si>
    <t xml:space="preserve">CPF08508164</t>
  </si>
  <si>
    <t xml:space="preserve">Mar 12, 2008</t>
  </si>
  <si>
    <t xml:space="preserve">San Francisco County, CA</t>
  </si>
  <si>
    <t xml:space="preserve">https://trellis.law/case/cpf08508164/fausto-c-molina-vs-max-bagheri</t>
  </si>
  <si>
    <t xml:space="preserve">BANCO -V- BLAST Print</t>
  </si>
  <si>
    <t xml:space="preserve">CIVSS816367</t>
  </si>
  <si>
    <t xml:space="preserve">Nov 21, 2008</t>
  </si>
  <si>
    <t xml:space="preserve">https://trellis.law/case/civss816367/banco-v-blast-print</t>
  </si>
  <si>
    <t xml:space="preserve">ADMAR MANAGEMENT CORP-V-BURRIS Print</t>
  </si>
  <si>
    <t xml:space="preserve">CIVDS1012265</t>
  </si>
  <si>
    <t xml:space="preserve">Sep 01, 2010</t>
  </si>
  <si>
    <t xml:space="preserve">https://trellis.law/case/civds1012265/admar-management-corp-v-burris-print</t>
  </si>
  <si>
    <t xml:space="preserve">Appearances by Judge (counts pull live from the All Cases tab)</t>
  </si>
  <si>
    <t xml:space="preserve">Total Cases</t>
  </si>
  <si>
    <t xml:space="preserve">By raw Trellis disposition</t>
  </si>
  <si>
    <t xml:space="preserve">Disposition</t>
  </si>
  <si>
    <t xml:space="preserve">Count</t>
  </si>
  <si>
    <t xml:space="preserve">TOTAL</t>
  </si>
  <si>
    <t xml:space="preserve">By Outcome Bucket</t>
  </si>
  <si>
    <t xml:space="preserve">Bucket</t>
  </si>
  <si>
    <t xml:space="preserve">LIBERTY MEDIA GROUP LLC ET AL v. CINECAUSE LLC ET AL — BC606196</t>
  </si>
  <si>
    <t xml:space="preserve">Stanley Mosk Courthouse (LA County Superior)</t>
  </si>
  <si>
    <t xml:space="preserve">Hon. Michael P. Linfield (civil)</t>
  </si>
  <si>
    <t xml:space="preserve">Jan 5, 2016</t>
  </si>
  <si>
    <t xml:space="preserve">Court-Ordered Dismissal — Other</t>
  </si>
  <si>
    <t xml:space="preserve">Verdict</t>
  </si>
  <si>
    <t xml:space="preserve">Unclassified</t>
  </si>
  <si>
    <t xml:space="preserve">Practice Area / Matter</t>
  </si>
  <si>
    <t xml:space="preserve">Commercial / Breach of Contract</t>
  </si>
  <si>
    <t xml:space="preserve">Plaintiffs</t>
  </si>
  <si>
    <t xml:space="preserve">Liberty Media Group LLC; Community Redevelopment Association LLC; General Barricade LLC</t>
  </si>
  <si>
    <t xml:space="preserve">Plaintiffs’ counsel</t>
  </si>
  <si>
    <t xml:space="preserve">Freedman + Taitelman LLP</t>
  </si>
  <si>
    <t xml:space="preserve">Source</t>
  </si>
  <si>
    <t xml:space="preserve">130-page Trellis docket (refreshed May 23, 2026)</t>
  </si>
  <si>
    <t xml:space="preserve">Note</t>
  </si>
  <si>
    <t xml:space="preserve">This is the one matter with full docket depth — the place to read actual motion-by-motion outcomes. Say the word and I’ll extract the docket timeline into its own tab.</t>
  </si>
  <si>
    <t xml:space="preserve">Defendants (party-level disposition from docket)</t>
  </si>
  <si>
    <t xml:space="preserve">Defendant</t>
  </si>
  <si>
    <t xml:space="preserve">Status</t>
  </si>
  <si>
    <t xml:space="preserve">Barnett, Courtney</t>
  </si>
  <si>
    <t xml:space="preserve">Dismissed</t>
  </si>
  <si>
    <t xml:space="preserve">Cinecause LLC</t>
  </si>
  <si>
    <t xml:space="preserve">Active party (Ps)</t>
  </si>
  <si>
    <t xml:space="preserve">Fitzgerald, Jon</t>
  </si>
  <si>
    <t xml:space="preserve">Gilead Sciences Inc</t>
  </si>
  <si>
    <t xml:space="preserve">Goldenvoice LLC</t>
  </si>
  <si>
    <t xml:space="preserve">Grant, Lalanii Rochelle</t>
  </si>
  <si>
    <t xml:space="preserve">Hollywood Film Festival</t>
  </si>
  <si>
    <t xml:space="preserve">Hozier-Byrne, Andrew (Hozier)</t>
  </si>
  <si>
    <t xml:space="preserve">Jarvis, Shaun</t>
  </si>
  <si>
    <t xml:space="preserve">Moderne Communications Inc</t>
  </si>
  <si>
    <t xml:space="preserve">Doe 1</t>
  </si>
  <si>
    <t xml:space="preserve">Mosaic L.A.</t>
  </si>
  <si>
    <t xml:space="preserve">Parks, Brad</t>
  </si>
  <si>
    <t xml:space="preserve">Postergiant Inc</t>
  </si>
  <si>
    <t xml:space="preserve">Doe 2</t>
  </si>
  <si>
    <t xml:space="preserve">One-Distribution Company LLC</t>
  </si>
  <si>
    <t xml:space="preserve">K-Swiss Global Brands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</si>
</sst>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5F1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C"/>
      </left>
      <right style="thin">
        <color rgb="FFD9D5CC"/>
      </right>
      <top style="thin">
        <color rgb="FFD9D5CC"/>
      </top>
      <bottom style="thin">
        <color rgb="FFD9D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5F1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1E8"/>
      <rgbColor rgb="FFCCFFFF"/>
      <rgbColor rgb="FF660066"/>
      <rgbColor rgb="FFFF8080"/>
      <rgbColor rgb="FF0066CC"/>
      <rgbColor rgb="FFD9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/>
    </row>
    <row r="4" customFormat="false" ht="15" hidden="false" customHeight="false" outlineLevel="0" collapsed="false">
      <c r="A4" s="2" t="s">
        <v>1</v>
      </c>
      <c r="B4" s="3" t="s">
        <v>2</v>
      </c>
    </row>
    <row r="5" customFormat="false" ht="1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4" t="s">
        <v>5</v>
      </c>
      <c r="B7" s="3"/>
    </row>
    <row r="8" customFormat="false" ht="15" hidden="false" customHeight="false" outlineLevel="0" collapsed="false">
      <c r="A8" s="2" t="s">
        <v>6</v>
      </c>
      <c r="B8" s="3" t="s">
        <v>7</v>
      </c>
    </row>
    <row r="9" customFormat="false" ht="15" hidden="false" customHeight="false" outlineLevel="0" collapsed="false">
      <c r="A9" s="2" t="s">
        <v>8</v>
      </c>
      <c r="B9" s="3" t="s">
        <v>9</v>
      </c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 t="s">
        <v>12</v>
      </c>
      <c r="B11" s="3" t="s">
        <v>13</v>
      </c>
    </row>
    <row r="12" customFormat="false" ht="15" hidden="false" customHeight="false" outlineLevel="0" collapsed="false">
      <c r="A12" s="2"/>
      <c r="B12" s="3"/>
    </row>
    <row r="13" customFormat="false" ht="15" hidden="false" customHeight="false" outlineLevel="0" collapsed="false">
      <c r="A13" s="4" t="s">
        <v>14</v>
      </c>
      <c r="B13" s="3"/>
    </row>
    <row r="14" customFormat="false" ht="15" hidden="false" customHeight="false" outlineLevel="0" collapsed="false">
      <c r="A14" s="2" t="s">
        <v>15</v>
      </c>
      <c r="B14" s="3" t="s">
        <v>16</v>
      </c>
    </row>
    <row r="15" customFormat="false" ht="22.35" hidden="false" customHeight="false" outlineLevel="0" collapsed="false">
      <c r="A15" s="2" t="s">
        <v>17</v>
      </c>
      <c r="B15" s="3" t="s">
        <v>18</v>
      </c>
    </row>
    <row r="16" customFormat="false" ht="22.35" hidden="false" customHeight="false" outlineLevel="0" collapsed="false">
      <c r="A16" s="2" t="s">
        <v>19</v>
      </c>
      <c r="B16" s="3" t="s">
        <v>20</v>
      </c>
    </row>
    <row r="17" customFormat="false" ht="32.8" hidden="false" customHeight="false" outlineLevel="0" collapsed="false">
      <c r="A17" s="2" t="s">
        <v>21</v>
      </c>
      <c r="B17" s="3" t="s">
        <v>22</v>
      </c>
    </row>
    <row r="18" customFormat="false" ht="15" hidden="false" customHeight="false" outlineLevel="0" collapsed="false">
      <c r="A18" s="2" t="s">
        <v>23</v>
      </c>
      <c r="B18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10" min="9" style="0" width="22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</row>
    <row r="2" customFormat="false" ht="15" hidden="false" customHeight="false" outlineLevel="0" collapsed="false">
      <c r="A2" s="6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/>
      <c r="H2" s="7"/>
      <c r="I2" s="7" t="s">
        <v>42</v>
      </c>
      <c r="J2" s="7" t="s">
        <v>43</v>
      </c>
      <c r="K2" s="7" t="s">
        <v>44</v>
      </c>
    </row>
    <row r="3" customFormat="false" ht="22.35" hidden="false" customHeight="false" outlineLevel="0" collapsed="false">
      <c r="A3" s="8" t="s">
        <v>45</v>
      </c>
      <c r="B3" s="9" t="s">
        <v>46</v>
      </c>
      <c r="C3" s="9" t="s">
        <v>47</v>
      </c>
      <c r="D3" s="9" t="s">
        <v>39</v>
      </c>
      <c r="E3" s="9" t="s">
        <v>40</v>
      </c>
      <c r="F3" s="9" t="s">
        <v>41</v>
      </c>
      <c r="G3" s="9" t="s">
        <v>48</v>
      </c>
      <c r="H3" s="9" t="s">
        <v>49</v>
      </c>
      <c r="I3" s="9" t="s">
        <v>42</v>
      </c>
      <c r="J3" s="9" t="s">
        <v>50</v>
      </c>
      <c r="K3" s="9" t="s">
        <v>51</v>
      </c>
    </row>
    <row r="4" customFormat="false" ht="15" hidden="false" customHeight="false" outlineLevel="0" collapsed="false">
      <c r="A4" s="6" t="s">
        <v>52</v>
      </c>
      <c r="B4" s="7" t="s">
        <v>53</v>
      </c>
      <c r="C4" s="7" t="s">
        <v>54</v>
      </c>
      <c r="D4" s="7" t="s">
        <v>39</v>
      </c>
      <c r="E4" s="7" t="s">
        <v>40</v>
      </c>
      <c r="F4" s="7" t="s">
        <v>41</v>
      </c>
      <c r="G4" s="7" t="s">
        <v>55</v>
      </c>
      <c r="H4" s="7" t="s">
        <v>56</v>
      </c>
      <c r="I4" s="7" t="s">
        <v>42</v>
      </c>
      <c r="J4" s="7" t="s">
        <v>57</v>
      </c>
      <c r="K4" s="7" t="s">
        <v>58</v>
      </c>
    </row>
    <row r="5" customFormat="false" ht="22.35" hidden="false" customHeight="false" outlineLevel="0" collapsed="false">
      <c r="A5" s="8" t="s">
        <v>59</v>
      </c>
      <c r="B5" s="9" t="s">
        <v>60</v>
      </c>
      <c r="C5" s="9" t="s">
        <v>61</v>
      </c>
      <c r="D5" s="9" t="s">
        <v>62</v>
      </c>
      <c r="E5" s="9" t="s">
        <v>40</v>
      </c>
      <c r="F5" s="9" t="s">
        <v>41</v>
      </c>
      <c r="G5" s="9" t="s">
        <v>63</v>
      </c>
      <c r="H5" s="9" t="s">
        <v>64</v>
      </c>
      <c r="I5" s="9" t="s">
        <v>42</v>
      </c>
      <c r="J5" s="9" t="s">
        <v>65</v>
      </c>
      <c r="K5" s="9" t="s">
        <v>66</v>
      </c>
    </row>
    <row r="6" customFormat="false" ht="15" hidden="false" customHeight="false" outlineLevel="0" collapsed="false">
      <c r="A6" s="6" t="s">
        <v>67</v>
      </c>
      <c r="B6" s="7" t="s">
        <v>68</v>
      </c>
      <c r="C6" s="7" t="s">
        <v>69</v>
      </c>
      <c r="D6" s="7" t="s">
        <v>70</v>
      </c>
      <c r="E6" s="7" t="s">
        <v>40</v>
      </c>
      <c r="F6" s="7" t="s">
        <v>41</v>
      </c>
      <c r="G6" s="7" t="s">
        <v>71</v>
      </c>
      <c r="H6" s="7" t="s">
        <v>72</v>
      </c>
      <c r="I6" s="7" t="s">
        <v>42</v>
      </c>
      <c r="J6" s="7" t="s">
        <v>65</v>
      </c>
      <c r="K6" s="7" t="s">
        <v>73</v>
      </c>
    </row>
    <row r="7" customFormat="false" ht="22.35" hidden="false" customHeight="false" outlineLevel="0" collapsed="false">
      <c r="A7" s="8" t="s">
        <v>74</v>
      </c>
      <c r="B7" s="9" t="s">
        <v>75</v>
      </c>
      <c r="C7" s="9" t="s">
        <v>76</v>
      </c>
      <c r="D7" s="9" t="s">
        <v>70</v>
      </c>
      <c r="E7" s="9" t="s">
        <v>77</v>
      </c>
      <c r="F7" s="9" t="s">
        <v>77</v>
      </c>
      <c r="G7" s="9" t="s">
        <v>48</v>
      </c>
      <c r="H7" s="9" t="s">
        <v>49</v>
      </c>
      <c r="I7" s="9" t="s">
        <v>42</v>
      </c>
      <c r="J7" s="9" t="s">
        <v>43</v>
      </c>
      <c r="K7" s="9" t="s">
        <v>78</v>
      </c>
    </row>
    <row r="8" customFormat="false" ht="22.35" hidden="false" customHeight="false" outlineLevel="0" collapsed="false">
      <c r="A8" s="6" t="s">
        <v>79</v>
      </c>
      <c r="B8" s="7" t="s">
        <v>80</v>
      </c>
      <c r="C8" s="7" t="s">
        <v>81</v>
      </c>
      <c r="D8" s="7" t="s">
        <v>70</v>
      </c>
      <c r="E8" s="7" t="s">
        <v>40</v>
      </c>
      <c r="F8" s="7" t="s">
        <v>41</v>
      </c>
      <c r="G8" s="7" t="s">
        <v>48</v>
      </c>
      <c r="H8" s="7" t="s">
        <v>49</v>
      </c>
      <c r="I8" s="7" t="s">
        <v>42</v>
      </c>
      <c r="J8" s="7" t="s">
        <v>57</v>
      </c>
      <c r="K8" s="7" t="s">
        <v>82</v>
      </c>
    </row>
    <row r="9" customFormat="false" ht="22.35" hidden="false" customHeight="false" outlineLevel="0" collapsed="false">
      <c r="A9" s="8" t="s">
        <v>83</v>
      </c>
      <c r="B9" s="9" t="s">
        <v>84</v>
      </c>
      <c r="C9" s="9" t="s">
        <v>85</v>
      </c>
      <c r="D9" s="9" t="s">
        <v>70</v>
      </c>
      <c r="E9" s="9" t="s">
        <v>40</v>
      </c>
      <c r="F9" s="9" t="s">
        <v>41</v>
      </c>
      <c r="G9" s="9" t="s">
        <v>48</v>
      </c>
      <c r="H9" s="9" t="s">
        <v>49</v>
      </c>
      <c r="I9" s="9" t="s">
        <v>42</v>
      </c>
      <c r="J9" s="9" t="s">
        <v>43</v>
      </c>
      <c r="K9" s="9" t="s">
        <v>86</v>
      </c>
    </row>
    <row r="10" customFormat="false" ht="22.35" hidden="false" customHeight="false" outlineLevel="0" collapsed="false">
      <c r="A10" s="6" t="s">
        <v>87</v>
      </c>
      <c r="B10" s="7" t="s">
        <v>88</v>
      </c>
      <c r="C10" s="7" t="s">
        <v>89</v>
      </c>
      <c r="D10" s="7" t="s">
        <v>70</v>
      </c>
      <c r="E10" s="7" t="s">
        <v>40</v>
      </c>
      <c r="F10" s="7" t="s">
        <v>41</v>
      </c>
      <c r="G10" s="7" t="s">
        <v>48</v>
      </c>
      <c r="H10" s="7" t="s">
        <v>49</v>
      </c>
      <c r="I10" s="7" t="s">
        <v>42</v>
      </c>
      <c r="J10" s="7" t="s">
        <v>57</v>
      </c>
      <c r="K10" s="7" t="s">
        <v>90</v>
      </c>
    </row>
    <row r="11" customFormat="false" ht="32.8" hidden="false" customHeight="false" outlineLevel="0" collapsed="false">
      <c r="A11" s="8" t="s">
        <v>91</v>
      </c>
      <c r="B11" s="9" t="s">
        <v>92</v>
      </c>
      <c r="C11" s="9" t="s">
        <v>93</v>
      </c>
      <c r="D11" s="9" t="s">
        <v>94</v>
      </c>
      <c r="E11" s="9" t="s">
        <v>95</v>
      </c>
      <c r="F11" s="9" t="s">
        <v>95</v>
      </c>
      <c r="G11" s="9" t="s">
        <v>96</v>
      </c>
      <c r="H11" s="9" t="s">
        <v>97</v>
      </c>
      <c r="I11" s="9" t="s">
        <v>98</v>
      </c>
      <c r="J11" s="9" t="s">
        <v>99</v>
      </c>
      <c r="K11" s="9" t="s">
        <v>100</v>
      </c>
    </row>
    <row r="12" customFormat="false" ht="15" hidden="false" customHeight="false" outlineLevel="0" collapsed="false">
      <c r="A12" s="6" t="s">
        <v>101</v>
      </c>
      <c r="B12" s="7" t="s">
        <v>102</v>
      </c>
      <c r="C12" s="7" t="s">
        <v>103</v>
      </c>
      <c r="D12" s="7" t="s">
        <v>104</v>
      </c>
      <c r="E12" s="7" t="s">
        <v>40</v>
      </c>
      <c r="F12" s="7" t="s">
        <v>41</v>
      </c>
      <c r="G12" s="7"/>
      <c r="H12" s="7"/>
      <c r="I12" s="7" t="s">
        <v>42</v>
      </c>
      <c r="J12" s="7" t="s">
        <v>65</v>
      </c>
      <c r="K12" s="7" t="s">
        <v>105</v>
      </c>
    </row>
    <row r="13" customFormat="false" ht="22.35" hidden="false" customHeight="false" outlineLevel="0" collapsed="false">
      <c r="A13" s="8" t="s">
        <v>106</v>
      </c>
      <c r="B13" s="9" t="s">
        <v>107</v>
      </c>
      <c r="C13" s="9" t="s">
        <v>108</v>
      </c>
      <c r="D13" s="9" t="s">
        <v>109</v>
      </c>
      <c r="E13" s="9" t="s">
        <v>110</v>
      </c>
      <c r="F13" s="9" t="s">
        <v>111</v>
      </c>
      <c r="G13" s="9" t="s">
        <v>48</v>
      </c>
      <c r="H13" s="9" t="s">
        <v>112</v>
      </c>
      <c r="I13" s="9" t="s">
        <v>42</v>
      </c>
      <c r="J13" s="9" t="s">
        <v>43</v>
      </c>
      <c r="K13" s="9" t="s">
        <v>113</v>
      </c>
    </row>
    <row r="14" customFormat="false" ht="15" hidden="false" customHeight="false" outlineLevel="0" collapsed="false">
      <c r="A14" s="6" t="s">
        <v>114</v>
      </c>
      <c r="B14" s="7" t="s">
        <v>115</v>
      </c>
      <c r="C14" s="7" t="s">
        <v>116</v>
      </c>
      <c r="D14" s="7" t="s">
        <v>109</v>
      </c>
      <c r="E14" s="7" t="s">
        <v>40</v>
      </c>
      <c r="F14" s="7" t="s">
        <v>41</v>
      </c>
      <c r="G14" s="7" t="s">
        <v>48</v>
      </c>
      <c r="H14" s="7" t="s">
        <v>49</v>
      </c>
      <c r="I14" s="7" t="s">
        <v>42</v>
      </c>
      <c r="J14" s="7" t="s">
        <v>117</v>
      </c>
      <c r="K14" s="7" t="s">
        <v>118</v>
      </c>
    </row>
    <row r="15" customFormat="false" ht="22.35" hidden="false" customHeight="false" outlineLevel="0" collapsed="false">
      <c r="A15" s="8" t="s">
        <v>119</v>
      </c>
      <c r="B15" s="9" t="s">
        <v>120</v>
      </c>
      <c r="C15" s="9" t="s">
        <v>121</v>
      </c>
      <c r="D15" s="9" t="s">
        <v>109</v>
      </c>
      <c r="E15" s="9" t="s">
        <v>40</v>
      </c>
      <c r="F15" s="9" t="s">
        <v>41</v>
      </c>
      <c r="G15" s="9" t="s">
        <v>96</v>
      </c>
      <c r="H15" s="9" t="s">
        <v>97</v>
      </c>
      <c r="I15" s="9" t="s">
        <v>42</v>
      </c>
      <c r="J15" s="9" t="s">
        <v>65</v>
      </c>
      <c r="K15" s="9" t="s">
        <v>122</v>
      </c>
    </row>
    <row r="16" customFormat="false" ht="22.35" hidden="false" customHeight="false" outlineLevel="0" collapsed="false">
      <c r="A16" s="6" t="s">
        <v>123</v>
      </c>
      <c r="B16" s="7" t="s">
        <v>124</v>
      </c>
      <c r="C16" s="7" t="s">
        <v>125</v>
      </c>
      <c r="D16" s="7" t="s">
        <v>126</v>
      </c>
      <c r="E16" s="7" t="s">
        <v>40</v>
      </c>
      <c r="F16" s="7" t="s">
        <v>41</v>
      </c>
      <c r="G16" s="7" t="s">
        <v>48</v>
      </c>
      <c r="H16" s="7" t="s">
        <v>112</v>
      </c>
      <c r="I16" s="7" t="s">
        <v>127</v>
      </c>
      <c r="J16" s="7" t="s">
        <v>99</v>
      </c>
      <c r="K16" s="7" t="s">
        <v>128</v>
      </c>
    </row>
    <row r="17" customFormat="false" ht="22.35" hidden="false" customHeight="false" outlineLevel="0" collapsed="false">
      <c r="A17" s="8" t="s">
        <v>129</v>
      </c>
      <c r="B17" s="9" t="s">
        <v>130</v>
      </c>
      <c r="C17" s="9" t="s">
        <v>131</v>
      </c>
      <c r="D17" s="9" t="s">
        <v>132</v>
      </c>
      <c r="E17" s="9" t="s">
        <v>40</v>
      </c>
      <c r="F17" s="9" t="s">
        <v>41</v>
      </c>
      <c r="G17" s="9" t="s">
        <v>96</v>
      </c>
      <c r="H17" s="9" t="s">
        <v>97</v>
      </c>
      <c r="I17" s="9" t="s">
        <v>42</v>
      </c>
      <c r="J17" s="9" t="s">
        <v>50</v>
      </c>
      <c r="K17" s="9" t="s">
        <v>133</v>
      </c>
    </row>
    <row r="18" customFormat="false" ht="15" hidden="false" customHeight="false" outlineLevel="0" collapsed="false">
      <c r="A18" s="6" t="s">
        <v>134</v>
      </c>
      <c r="B18" s="7" t="s">
        <v>135</v>
      </c>
      <c r="C18" s="7" t="s">
        <v>136</v>
      </c>
      <c r="D18" s="7" t="s">
        <v>132</v>
      </c>
      <c r="E18" s="7" t="s">
        <v>40</v>
      </c>
      <c r="F18" s="7" t="s">
        <v>41</v>
      </c>
      <c r="G18" s="7" t="s">
        <v>48</v>
      </c>
      <c r="H18" s="7" t="s">
        <v>49</v>
      </c>
      <c r="I18" s="7" t="s">
        <v>42</v>
      </c>
      <c r="J18" s="7" t="s">
        <v>50</v>
      </c>
      <c r="K18" s="7" t="s">
        <v>137</v>
      </c>
    </row>
    <row r="19" customFormat="false" ht="22.35" hidden="false" customHeight="false" outlineLevel="0" collapsed="false">
      <c r="A19" s="8" t="s">
        <v>138</v>
      </c>
      <c r="B19" s="9" t="s">
        <v>139</v>
      </c>
      <c r="C19" s="9" t="s">
        <v>140</v>
      </c>
      <c r="D19" s="9" t="s">
        <v>141</v>
      </c>
      <c r="E19" s="9" t="s">
        <v>40</v>
      </c>
      <c r="F19" s="9" t="s">
        <v>41</v>
      </c>
      <c r="G19" s="9" t="s">
        <v>96</v>
      </c>
      <c r="H19" s="9" t="s">
        <v>142</v>
      </c>
      <c r="I19" s="9" t="s">
        <v>42</v>
      </c>
      <c r="J19" s="9" t="s">
        <v>65</v>
      </c>
      <c r="K19" s="9" t="s">
        <v>143</v>
      </c>
    </row>
    <row r="20" customFormat="false" ht="22.35" hidden="false" customHeight="false" outlineLevel="0" collapsed="false">
      <c r="A20" s="6" t="s">
        <v>144</v>
      </c>
      <c r="B20" s="7" t="s">
        <v>145</v>
      </c>
      <c r="C20" s="7" t="s">
        <v>146</v>
      </c>
      <c r="D20" s="7" t="s">
        <v>147</v>
      </c>
      <c r="E20" s="7" t="s">
        <v>40</v>
      </c>
      <c r="F20" s="7" t="s">
        <v>41</v>
      </c>
      <c r="G20" s="7"/>
      <c r="H20" s="7"/>
      <c r="I20" s="7" t="s">
        <v>148</v>
      </c>
      <c r="J20" s="7" t="s">
        <v>117</v>
      </c>
      <c r="K20" s="7" t="s">
        <v>149</v>
      </c>
    </row>
    <row r="21" customFormat="false" ht="15" hidden="false" customHeight="false" outlineLevel="0" collapsed="false">
      <c r="A21" s="8" t="s">
        <v>150</v>
      </c>
      <c r="B21" s="9" t="s">
        <v>151</v>
      </c>
      <c r="C21" s="9" t="s">
        <v>152</v>
      </c>
      <c r="D21" s="9" t="s">
        <v>153</v>
      </c>
      <c r="E21" s="9" t="s">
        <v>40</v>
      </c>
      <c r="F21" s="9" t="s">
        <v>41</v>
      </c>
      <c r="G21" s="9" t="s">
        <v>154</v>
      </c>
      <c r="H21" s="9" t="s">
        <v>155</v>
      </c>
      <c r="I21" s="9" t="s">
        <v>42</v>
      </c>
      <c r="J21" s="9" t="s">
        <v>99</v>
      </c>
      <c r="K21" s="9" t="s">
        <v>156</v>
      </c>
    </row>
    <row r="22" customFormat="false" ht="15" hidden="false" customHeight="false" outlineLevel="0" collapsed="false">
      <c r="A22" s="6" t="s">
        <v>157</v>
      </c>
      <c r="B22" s="7" t="s">
        <v>158</v>
      </c>
      <c r="C22" s="7" t="s">
        <v>159</v>
      </c>
      <c r="D22" s="7" t="s">
        <v>160</v>
      </c>
      <c r="E22" s="7" t="s">
        <v>40</v>
      </c>
      <c r="F22" s="7" t="s">
        <v>41</v>
      </c>
      <c r="G22" s="7" t="s">
        <v>55</v>
      </c>
      <c r="H22" s="7" t="s">
        <v>161</v>
      </c>
      <c r="I22" s="7" t="s">
        <v>42</v>
      </c>
      <c r="J22" s="7" t="s">
        <v>57</v>
      </c>
      <c r="K22" s="7" t="s">
        <v>162</v>
      </c>
    </row>
    <row r="23" customFormat="false" ht="15" hidden="false" customHeight="false" outlineLevel="0" collapsed="false">
      <c r="A23" s="8" t="s">
        <v>163</v>
      </c>
      <c r="B23" s="9" t="s">
        <v>164</v>
      </c>
      <c r="C23" s="9" t="s">
        <v>165</v>
      </c>
      <c r="D23" s="9" t="s">
        <v>160</v>
      </c>
      <c r="E23" s="9" t="s">
        <v>166</v>
      </c>
      <c r="F23" s="9" t="s">
        <v>111</v>
      </c>
      <c r="G23" s="9" t="s">
        <v>55</v>
      </c>
      <c r="H23" s="9" t="s">
        <v>161</v>
      </c>
      <c r="I23" s="9" t="s">
        <v>42</v>
      </c>
      <c r="J23" s="9" t="s">
        <v>57</v>
      </c>
      <c r="K23" s="9" t="s">
        <v>167</v>
      </c>
    </row>
    <row r="24" customFormat="false" ht="15" hidden="false" customHeight="false" outlineLevel="0" collapsed="false">
      <c r="A24" s="6" t="s">
        <v>168</v>
      </c>
      <c r="B24" s="7" t="s">
        <v>169</v>
      </c>
      <c r="C24" s="7" t="s">
        <v>170</v>
      </c>
      <c r="D24" s="7" t="s">
        <v>160</v>
      </c>
      <c r="E24" s="7" t="s">
        <v>40</v>
      </c>
      <c r="F24" s="7" t="s">
        <v>41</v>
      </c>
      <c r="G24" s="7" t="s">
        <v>55</v>
      </c>
      <c r="H24" s="7" t="s">
        <v>161</v>
      </c>
      <c r="I24" s="7" t="s">
        <v>42</v>
      </c>
      <c r="J24" s="7" t="s">
        <v>57</v>
      </c>
      <c r="K24" s="7" t="s">
        <v>171</v>
      </c>
    </row>
    <row r="25" customFormat="false" ht="15" hidden="false" customHeight="false" outlineLevel="0" collapsed="false">
      <c r="A25" s="8" t="s">
        <v>172</v>
      </c>
      <c r="B25" s="9" t="s">
        <v>173</v>
      </c>
      <c r="C25" s="9" t="s">
        <v>174</v>
      </c>
      <c r="D25" s="9" t="s">
        <v>175</v>
      </c>
      <c r="E25" s="9" t="s">
        <v>77</v>
      </c>
      <c r="F25" s="9" t="s">
        <v>77</v>
      </c>
      <c r="G25" s="9" t="s">
        <v>48</v>
      </c>
      <c r="H25" s="9" t="s">
        <v>176</v>
      </c>
      <c r="I25" s="9" t="s">
        <v>42</v>
      </c>
      <c r="J25" s="9" t="s">
        <v>65</v>
      </c>
      <c r="K25" s="9" t="s">
        <v>177</v>
      </c>
    </row>
    <row r="26" customFormat="false" ht="22.35" hidden="false" customHeight="false" outlineLevel="0" collapsed="false">
      <c r="A26" s="6" t="s">
        <v>178</v>
      </c>
      <c r="B26" s="7" t="s">
        <v>179</v>
      </c>
      <c r="C26" s="7" t="s">
        <v>180</v>
      </c>
      <c r="D26" s="7" t="s">
        <v>175</v>
      </c>
      <c r="E26" s="7" t="s">
        <v>40</v>
      </c>
      <c r="F26" s="7" t="s">
        <v>41</v>
      </c>
      <c r="G26" s="7" t="s">
        <v>181</v>
      </c>
      <c r="H26" s="7" t="s">
        <v>182</v>
      </c>
      <c r="I26" s="7" t="s">
        <v>42</v>
      </c>
      <c r="J26" s="7" t="s">
        <v>99</v>
      </c>
      <c r="K26" s="7" t="s">
        <v>183</v>
      </c>
    </row>
    <row r="27" customFormat="false" ht="22.35" hidden="false" customHeight="false" outlineLevel="0" collapsed="false">
      <c r="A27" s="8" t="s">
        <v>184</v>
      </c>
      <c r="B27" s="9" t="s">
        <v>185</v>
      </c>
      <c r="C27" s="9" t="s">
        <v>186</v>
      </c>
      <c r="D27" s="9" t="s">
        <v>187</v>
      </c>
      <c r="E27" s="9" t="s">
        <v>40</v>
      </c>
      <c r="F27" s="9" t="s">
        <v>41</v>
      </c>
      <c r="G27" s="9" t="s">
        <v>48</v>
      </c>
      <c r="H27" s="9" t="s">
        <v>49</v>
      </c>
      <c r="I27" s="9" t="s">
        <v>188</v>
      </c>
      <c r="J27" s="9" t="s">
        <v>117</v>
      </c>
      <c r="K27" s="9" t="s">
        <v>189</v>
      </c>
    </row>
    <row r="28" customFormat="false" ht="22.35" hidden="false" customHeight="false" outlineLevel="0" collapsed="false">
      <c r="A28" s="6" t="s">
        <v>190</v>
      </c>
      <c r="B28" s="7" t="s">
        <v>191</v>
      </c>
      <c r="C28" s="7" t="s">
        <v>47</v>
      </c>
      <c r="D28" s="7" t="s">
        <v>192</v>
      </c>
      <c r="E28" s="7" t="s">
        <v>77</v>
      </c>
      <c r="F28" s="7" t="s">
        <v>77</v>
      </c>
      <c r="G28" s="7" t="s">
        <v>48</v>
      </c>
      <c r="H28" s="7" t="s">
        <v>49</v>
      </c>
      <c r="I28" s="7" t="s">
        <v>42</v>
      </c>
      <c r="J28" s="7" t="s">
        <v>193</v>
      </c>
      <c r="K28" s="7" t="s">
        <v>194</v>
      </c>
    </row>
    <row r="29" customFormat="false" ht="15" hidden="false" customHeight="false" outlineLevel="0" collapsed="false">
      <c r="A29" s="8" t="s">
        <v>195</v>
      </c>
      <c r="B29" s="9" t="s">
        <v>196</v>
      </c>
      <c r="C29" s="9" t="s">
        <v>197</v>
      </c>
      <c r="D29" s="9" t="s">
        <v>198</v>
      </c>
      <c r="E29" s="9" t="s">
        <v>110</v>
      </c>
      <c r="F29" s="9" t="s">
        <v>111</v>
      </c>
      <c r="G29" s="9" t="s">
        <v>55</v>
      </c>
      <c r="H29" s="9" t="s">
        <v>199</v>
      </c>
      <c r="I29" s="9" t="s">
        <v>42</v>
      </c>
      <c r="J29" s="9" t="s">
        <v>65</v>
      </c>
      <c r="K29" s="9" t="s">
        <v>200</v>
      </c>
    </row>
    <row r="30" customFormat="false" ht="15" hidden="false" customHeight="false" outlineLevel="0" collapsed="false">
      <c r="A30" s="6" t="s">
        <v>201</v>
      </c>
      <c r="B30" s="7" t="s">
        <v>202</v>
      </c>
      <c r="C30" s="7" t="s">
        <v>203</v>
      </c>
      <c r="D30" s="7" t="s">
        <v>204</v>
      </c>
      <c r="E30" s="7" t="s">
        <v>77</v>
      </c>
      <c r="F30" s="7" t="s">
        <v>77</v>
      </c>
      <c r="G30" s="7" t="s">
        <v>48</v>
      </c>
      <c r="H30" s="7" t="s">
        <v>176</v>
      </c>
      <c r="I30" s="7" t="s">
        <v>205</v>
      </c>
      <c r="J30" s="7" t="s">
        <v>65</v>
      </c>
      <c r="K30" s="7" t="s">
        <v>206</v>
      </c>
    </row>
    <row r="31" customFormat="false" ht="22.35" hidden="false" customHeight="false" outlineLevel="0" collapsed="false">
      <c r="A31" s="8" t="s">
        <v>207</v>
      </c>
      <c r="B31" s="9" t="s">
        <v>208</v>
      </c>
      <c r="C31" s="9" t="s">
        <v>209</v>
      </c>
      <c r="D31" s="9" t="s">
        <v>204</v>
      </c>
      <c r="E31" s="9" t="s">
        <v>210</v>
      </c>
      <c r="F31" s="9" t="s">
        <v>41</v>
      </c>
      <c r="G31" s="9" t="s">
        <v>96</v>
      </c>
      <c r="H31" s="9" t="s">
        <v>211</v>
      </c>
      <c r="I31" s="9" t="s">
        <v>205</v>
      </c>
      <c r="J31" s="9" t="s">
        <v>65</v>
      </c>
      <c r="K31" s="9" t="s">
        <v>212</v>
      </c>
    </row>
    <row r="32" customFormat="false" ht="22.35" hidden="false" customHeight="false" outlineLevel="0" collapsed="false">
      <c r="A32" s="6" t="s">
        <v>213</v>
      </c>
      <c r="B32" s="7" t="s">
        <v>214</v>
      </c>
      <c r="C32" s="7" t="s">
        <v>215</v>
      </c>
      <c r="D32" s="7" t="s">
        <v>216</v>
      </c>
      <c r="E32" s="7" t="s">
        <v>217</v>
      </c>
      <c r="F32" s="7" t="s">
        <v>41</v>
      </c>
      <c r="G32" s="7" t="s">
        <v>71</v>
      </c>
      <c r="H32" s="7" t="s">
        <v>72</v>
      </c>
      <c r="I32" s="7" t="s">
        <v>98</v>
      </c>
      <c r="J32" s="7" t="s">
        <v>50</v>
      </c>
      <c r="K32" s="7" t="s">
        <v>218</v>
      </c>
    </row>
    <row r="33" customFormat="false" ht="32.8" hidden="false" customHeight="false" outlineLevel="0" collapsed="false">
      <c r="A33" s="8" t="s">
        <v>219</v>
      </c>
      <c r="B33" s="9" t="s">
        <v>220</v>
      </c>
      <c r="C33" s="9" t="s">
        <v>221</v>
      </c>
      <c r="D33" s="9" t="s">
        <v>216</v>
      </c>
      <c r="E33" s="9" t="s">
        <v>95</v>
      </c>
      <c r="F33" s="9" t="s">
        <v>95</v>
      </c>
      <c r="G33" s="9" t="s">
        <v>222</v>
      </c>
      <c r="H33" s="9" t="s">
        <v>223</v>
      </c>
      <c r="I33" s="9" t="s">
        <v>98</v>
      </c>
      <c r="J33" s="9" t="s">
        <v>50</v>
      </c>
      <c r="K33" s="9" t="s">
        <v>224</v>
      </c>
    </row>
    <row r="34" customFormat="false" ht="22.35" hidden="false" customHeight="false" outlineLevel="0" collapsed="false">
      <c r="A34" s="6" t="s">
        <v>225</v>
      </c>
      <c r="B34" s="7" t="s">
        <v>226</v>
      </c>
      <c r="C34" s="7" t="s">
        <v>227</v>
      </c>
      <c r="D34" s="7" t="s">
        <v>216</v>
      </c>
      <c r="E34" s="7" t="s">
        <v>217</v>
      </c>
      <c r="F34" s="7" t="s">
        <v>41</v>
      </c>
      <c r="G34" s="7" t="s">
        <v>55</v>
      </c>
      <c r="H34" s="7" t="s">
        <v>199</v>
      </c>
      <c r="I34" s="7" t="s">
        <v>98</v>
      </c>
      <c r="J34" s="7" t="s">
        <v>65</v>
      </c>
      <c r="K34" s="7" t="s">
        <v>228</v>
      </c>
    </row>
    <row r="35" customFormat="false" ht="15" hidden="false" customHeight="false" outlineLevel="0" collapsed="false">
      <c r="A35" s="8" t="s">
        <v>229</v>
      </c>
      <c r="B35" s="9" t="s">
        <v>230</v>
      </c>
      <c r="C35" s="9" t="s">
        <v>231</v>
      </c>
      <c r="D35" s="9" t="s">
        <v>216</v>
      </c>
      <c r="E35" s="9" t="s">
        <v>95</v>
      </c>
      <c r="F35" s="9" t="s">
        <v>95</v>
      </c>
      <c r="G35" s="9" t="s">
        <v>55</v>
      </c>
      <c r="H35" s="9" t="s">
        <v>232</v>
      </c>
      <c r="I35" s="9" t="s">
        <v>98</v>
      </c>
      <c r="J35" s="9" t="s">
        <v>233</v>
      </c>
      <c r="K35" s="9" t="s">
        <v>234</v>
      </c>
    </row>
    <row r="36" customFormat="false" ht="22.35" hidden="false" customHeight="false" outlineLevel="0" collapsed="false">
      <c r="A36" s="6" t="s">
        <v>235</v>
      </c>
      <c r="B36" s="7" t="s">
        <v>236</v>
      </c>
      <c r="C36" s="7" t="s">
        <v>237</v>
      </c>
      <c r="D36" s="7" t="s">
        <v>238</v>
      </c>
      <c r="E36" s="7" t="s">
        <v>40</v>
      </c>
      <c r="F36" s="7" t="s">
        <v>41</v>
      </c>
      <c r="G36" s="7" t="s">
        <v>239</v>
      </c>
      <c r="H36" s="7" t="s">
        <v>240</v>
      </c>
      <c r="I36" s="7" t="s">
        <v>42</v>
      </c>
      <c r="J36" s="7" t="s">
        <v>57</v>
      </c>
      <c r="K36" s="7" t="s">
        <v>241</v>
      </c>
    </row>
    <row r="37" customFormat="false" ht="22.35" hidden="false" customHeight="false" outlineLevel="0" collapsed="false">
      <c r="A37" s="8" t="s">
        <v>242</v>
      </c>
      <c r="B37" s="9" t="s">
        <v>243</v>
      </c>
      <c r="C37" s="9" t="s">
        <v>244</v>
      </c>
      <c r="D37" s="9" t="s">
        <v>238</v>
      </c>
      <c r="E37" s="9" t="s">
        <v>245</v>
      </c>
      <c r="F37" s="9" t="s">
        <v>246</v>
      </c>
      <c r="G37" s="9" t="s">
        <v>96</v>
      </c>
      <c r="H37" s="9" t="s">
        <v>97</v>
      </c>
      <c r="I37" s="9" t="s">
        <v>247</v>
      </c>
      <c r="J37" s="9" t="s">
        <v>233</v>
      </c>
      <c r="K37" s="9" t="s">
        <v>248</v>
      </c>
    </row>
    <row r="38" customFormat="false" ht="22.35" hidden="false" customHeight="false" outlineLevel="0" collapsed="false">
      <c r="A38" s="6" t="s">
        <v>249</v>
      </c>
      <c r="B38" s="7" t="s">
        <v>250</v>
      </c>
      <c r="C38" s="7" t="s">
        <v>251</v>
      </c>
      <c r="D38" s="7" t="s">
        <v>252</v>
      </c>
      <c r="E38" s="7" t="s">
        <v>40</v>
      </c>
      <c r="F38" s="7" t="s">
        <v>41</v>
      </c>
      <c r="G38" s="7" t="s">
        <v>96</v>
      </c>
      <c r="H38" s="7" t="s">
        <v>97</v>
      </c>
      <c r="I38" s="7" t="s">
        <v>42</v>
      </c>
      <c r="J38" s="7" t="s">
        <v>65</v>
      </c>
      <c r="K38" s="7" t="s">
        <v>253</v>
      </c>
    </row>
    <row r="39" customFormat="false" ht="15" hidden="false" customHeight="false" outlineLevel="0" collapsed="false">
      <c r="A39" s="8" t="s">
        <v>254</v>
      </c>
      <c r="B39" s="9" t="s">
        <v>255</v>
      </c>
      <c r="C39" s="9" t="s">
        <v>256</v>
      </c>
      <c r="D39" s="9" t="s">
        <v>257</v>
      </c>
      <c r="E39" s="9" t="s">
        <v>217</v>
      </c>
      <c r="F39" s="9" t="s">
        <v>41</v>
      </c>
      <c r="G39" s="9" t="s">
        <v>258</v>
      </c>
      <c r="H39" s="9" t="s">
        <v>259</v>
      </c>
      <c r="I39" s="9" t="s">
        <v>42</v>
      </c>
      <c r="J39" s="9" t="s">
        <v>99</v>
      </c>
      <c r="K39" s="9" t="s">
        <v>260</v>
      </c>
    </row>
    <row r="40" customFormat="false" ht="22.35" hidden="false" customHeight="false" outlineLevel="0" collapsed="false">
      <c r="A40" s="6" t="s">
        <v>261</v>
      </c>
      <c r="B40" s="7" t="s">
        <v>262</v>
      </c>
      <c r="C40" s="7" t="s">
        <v>263</v>
      </c>
      <c r="D40" s="7" t="s">
        <v>264</v>
      </c>
      <c r="E40" s="7" t="s">
        <v>40</v>
      </c>
      <c r="F40" s="7" t="s">
        <v>41</v>
      </c>
      <c r="G40" s="7" t="s">
        <v>55</v>
      </c>
      <c r="H40" s="7" t="s">
        <v>265</v>
      </c>
      <c r="I40" s="7" t="s">
        <v>127</v>
      </c>
      <c r="J40" s="7" t="s">
        <v>65</v>
      </c>
      <c r="K40" s="7" t="s">
        <v>266</v>
      </c>
    </row>
    <row r="41" customFormat="false" ht="22.35" hidden="false" customHeight="false" outlineLevel="0" collapsed="false">
      <c r="A41" s="8" t="s">
        <v>267</v>
      </c>
      <c r="B41" s="9" t="s">
        <v>268</v>
      </c>
      <c r="C41" s="9" t="s">
        <v>269</v>
      </c>
      <c r="D41" s="9" t="s">
        <v>270</v>
      </c>
      <c r="E41" s="9" t="s">
        <v>245</v>
      </c>
      <c r="F41" s="9" t="s">
        <v>246</v>
      </c>
      <c r="G41" s="9" t="s">
        <v>49</v>
      </c>
      <c r="H41" s="9"/>
      <c r="I41" s="9" t="s">
        <v>271</v>
      </c>
      <c r="J41" s="9" t="s">
        <v>65</v>
      </c>
      <c r="K41" s="9" t="s">
        <v>272</v>
      </c>
    </row>
    <row r="42" customFormat="false" ht="22.35" hidden="false" customHeight="false" outlineLevel="0" collapsed="false">
      <c r="A42" s="6" t="s">
        <v>273</v>
      </c>
      <c r="B42" s="7" t="s">
        <v>274</v>
      </c>
      <c r="C42" s="7" t="s">
        <v>275</v>
      </c>
      <c r="D42" s="7" t="s">
        <v>276</v>
      </c>
      <c r="E42" s="7" t="s">
        <v>40</v>
      </c>
      <c r="F42" s="7" t="s">
        <v>41</v>
      </c>
      <c r="G42" s="7" t="s">
        <v>222</v>
      </c>
      <c r="H42" s="7" t="s">
        <v>277</v>
      </c>
      <c r="I42" s="7" t="s">
        <v>42</v>
      </c>
      <c r="J42" s="7" t="s">
        <v>65</v>
      </c>
      <c r="K42" s="7" t="s">
        <v>278</v>
      </c>
    </row>
    <row r="43" customFormat="false" ht="15" hidden="false" customHeight="false" outlineLevel="0" collapsed="false">
      <c r="A43" s="8" t="s">
        <v>279</v>
      </c>
      <c r="B43" s="9" t="s">
        <v>280</v>
      </c>
      <c r="C43" s="9" t="s">
        <v>281</v>
      </c>
      <c r="D43" s="9" t="s">
        <v>282</v>
      </c>
      <c r="E43" s="9" t="s">
        <v>77</v>
      </c>
      <c r="F43" s="9" t="s">
        <v>77</v>
      </c>
      <c r="G43" s="9" t="s">
        <v>283</v>
      </c>
      <c r="H43" s="9" t="s">
        <v>284</v>
      </c>
      <c r="I43" s="9" t="s">
        <v>285</v>
      </c>
      <c r="J43" s="9" t="s">
        <v>233</v>
      </c>
      <c r="K43" s="9" t="s">
        <v>286</v>
      </c>
    </row>
    <row r="44" customFormat="false" ht="22.35" hidden="false" customHeight="false" outlineLevel="0" collapsed="false">
      <c r="A44" s="6" t="s">
        <v>287</v>
      </c>
      <c r="B44" s="7" t="s">
        <v>288</v>
      </c>
      <c r="C44" s="7" t="s">
        <v>289</v>
      </c>
      <c r="D44" s="7" t="s">
        <v>282</v>
      </c>
      <c r="E44" s="7" t="s">
        <v>245</v>
      </c>
      <c r="F44" s="7" t="s">
        <v>246</v>
      </c>
      <c r="G44" s="7" t="s">
        <v>55</v>
      </c>
      <c r="H44" s="7" t="s">
        <v>290</v>
      </c>
      <c r="I44" s="7" t="s">
        <v>42</v>
      </c>
      <c r="J44" s="7" t="s">
        <v>99</v>
      </c>
      <c r="K44" s="7" t="s">
        <v>291</v>
      </c>
    </row>
    <row r="45" customFormat="false" ht="22.35" hidden="false" customHeight="false" outlineLevel="0" collapsed="false">
      <c r="A45" s="8" t="s">
        <v>292</v>
      </c>
      <c r="B45" s="9" t="s">
        <v>293</v>
      </c>
      <c r="C45" s="9" t="s">
        <v>294</v>
      </c>
      <c r="D45" s="9" t="s">
        <v>295</v>
      </c>
      <c r="E45" s="9" t="s">
        <v>40</v>
      </c>
      <c r="F45" s="9" t="s">
        <v>41</v>
      </c>
      <c r="G45" s="9" t="s">
        <v>63</v>
      </c>
      <c r="H45" s="9" t="s">
        <v>64</v>
      </c>
      <c r="I45" s="9" t="s">
        <v>42</v>
      </c>
      <c r="J45" s="9" t="s">
        <v>50</v>
      </c>
      <c r="K45" s="9" t="s">
        <v>296</v>
      </c>
    </row>
    <row r="46" customFormat="false" ht="22.35" hidden="false" customHeight="false" outlineLevel="0" collapsed="false">
      <c r="A46" s="6" t="s">
        <v>297</v>
      </c>
      <c r="B46" s="7" t="s">
        <v>298</v>
      </c>
      <c r="C46" s="7" t="s">
        <v>299</v>
      </c>
      <c r="D46" s="7" t="s">
        <v>295</v>
      </c>
      <c r="E46" s="7" t="s">
        <v>40</v>
      </c>
      <c r="F46" s="7" t="s">
        <v>41</v>
      </c>
      <c r="G46" s="7" t="s">
        <v>48</v>
      </c>
      <c r="H46" s="7" t="s">
        <v>112</v>
      </c>
      <c r="I46" s="7" t="s">
        <v>42</v>
      </c>
      <c r="J46" s="7" t="s">
        <v>50</v>
      </c>
      <c r="K46" s="7" t="s">
        <v>300</v>
      </c>
    </row>
    <row r="47" customFormat="false" ht="22.35" hidden="false" customHeight="false" outlineLevel="0" collapsed="false">
      <c r="A47" s="8" t="s">
        <v>301</v>
      </c>
      <c r="B47" s="9" t="s">
        <v>302</v>
      </c>
      <c r="C47" s="9" t="s">
        <v>303</v>
      </c>
      <c r="D47" s="9" t="s">
        <v>295</v>
      </c>
      <c r="E47" s="9" t="s">
        <v>40</v>
      </c>
      <c r="F47" s="9" t="s">
        <v>41</v>
      </c>
      <c r="G47" s="9" t="s">
        <v>48</v>
      </c>
      <c r="H47" s="9" t="s">
        <v>49</v>
      </c>
      <c r="I47" s="9" t="s">
        <v>42</v>
      </c>
      <c r="J47" s="9" t="s">
        <v>43</v>
      </c>
      <c r="K47" s="9" t="s">
        <v>304</v>
      </c>
    </row>
    <row r="48" customFormat="false" ht="22.35" hidden="false" customHeight="false" outlineLevel="0" collapsed="false">
      <c r="A48" s="6" t="s">
        <v>305</v>
      </c>
      <c r="B48" s="7" t="s">
        <v>306</v>
      </c>
      <c r="C48" s="7" t="s">
        <v>307</v>
      </c>
      <c r="D48" s="7" t="s">
        <v>308</v>
      </c>
      <c r="E48" s="7" t="s">
        <v>40</v>
      </c>
      <c r="F48" s="7" t="s">
        <v>41</v>
      </c>
      <c r="G48" s="7" t="s">
        <v>48</v>
      </c>
      <c r="H48" s="7" t="s">
        <v>309</v>
      </c>
      <c r="I48" s="7" t="s">
        <v>310</v>
      </c>
      <c r="J48" s="7" t="s">
        <v>65</v>
      </c>
      <c r="K48" s="7" t="s">
        <v>311</v>
      </c>
    </row>
    <row r="49" customFormat="false" ht="15" hidden="false" customHeight="false" outlineLevel="0" collapsed="false">
      <c r="A49" s="8" t="s">
        <v>312</v>
      </c>
      <c r="B49" s="9" t="s">
        <v>313</v>
      </c>
      <c r="C49" s="9" t="s">
        <v>314</v>
      </c>
      <c r="D49" s="9" t="s">
        <v>315</v>
      </c>
      <c r="E49" s="9" t="s">
        <v>217</v>
      </c>
      <c r="F49" s="9" t="s">
        <v>41</v>
      </c>
      <c r="G49" s="9" t="s">
        <v>48</v>
      </c>
      <c r="H49" s="9" t="s">
        <v>112</v>
      </c>
      <c r="I49" s="9" t="s">
        <v>42</v>
      </c>
      <c r="J49" s="9" t="s">
        <v>99</v>
      </c>
      <c r="K49" s="9" t="s">
        <v>316</v>
      </c>
    </row>
    <row r="50" customFormat="false" ht="15" hidden="false" customHeight="false" outlineLevel="0" collapsed="false">
      <c r="A50" s="6" t="s">
        <v>317</v>
      </c>
      <c r="B50" s="7" t="s">
        <v>318</v>
      </c>
      <c r="C50" s="7" t="s">
        <v>319</v>
      </c>
      <c r="D50" s="7" t="s">
        <v>315</v>
      </c>
      <c r="E50" s="7" t="s">
        <v>245</v>
      </c>
      <c r="F50" s="7" t="s">
        <v>246</v>
      </c>
      <c r="G50" s="7" t="s">
        <v>55</v>
      </c>
      <c r="H50" s="7" t="s">
        <v>199</v>
      </c>
      <c r="I50" s="7" t="s">
        <v>98</v>
      </c>
      <c r="J50" s="7" t="s">
        <v>233</v>
      </c>
      <c r="K50" s="7" t="s">
        <v>320</v>
      </c>
    </row>
    <row r="51" customFormat="false" ht="15" hidden="false" customHeight="false" outlineLevel="0" collapsed="false">
      <c r="A51" s="8" t="s">
        <v>321</v>
      </c>
      <c r="B51" s="9" t="s">
        <v>322</v>
      </c>
      <c r="C51" s="9" t="s">
        <v>323</v>
      </c>
      <c r="D51" s="9" t="s">
        <v>324</v>
      </c>
      <c r="E51" s="9" t="s">
        <v>40</v>
      </c>
      <c r="F51" s="9" t="s">
        <v>41</v>
      </c>
      <c r="G51" s="9"/>
      <c r="H51" s="9"/>
      <c r="I51" s="9" t="s">
        <v>325</v>
      </c>
      <c r="J51" s="9" t="s">
        <v>117</v>
      </c>
      <c r="K51" s="9" t="s">
        <v>326</v>
      </c>
    </row>
    <row r="52" customFormat="false" ht="22.35" hidden="false" customHeight="false" outlineLevel="0" collapsed="false">
      <c r="A52" s="6" t="s">
        <v>327</v>
      </c>
      <c r="B52" s="7" t="s">
        <v>328</v>
      </c>
      <c r="C52" s="7" t="s">
        <v>329</v>
      </c>
      <c r="D52" s="7" t="s">
        <v>330</v>
      </c>
      <c r="E52" s="7" t="s">
        <v>40</v>
      </c>
      <c r="F52" s="7" t="s">
        <v>41</v>
      </c>
      <c r="G52" s="7"/>
      <c r="H52" s="7"/>
      <c r="I52" s="7" t="s">
        <v>42</v>
      </c>
      <c r="J52" s="7" t="s">
        <v>43</v>
      </c>
      <c r="K52" s="7" t="s">
        <v>331</v>
      </c>
    </row>
    <row r="53" customFormat="false" ht="22.35" hidden="false" customHeight="false" outlineLevel="0" collapsed="false">
      <c r="A53" s="8" t="s">
        <v>332</v>
      </c>
      <c r="B53" s="9" t="s">
        <v>333</v>
      </c>
      <c r="C53" s="9" t="s">
        <v>334</v>
      </c>
      <c r="D53" s="9" t="s">
        <v>330</v>
      </c>
      <c r="E53" s="9" t="s">
        <v>40</v>
      </c>
      <c r="F53" s="9" t="s">
        <v>41</v>
      </c>
      <c r="G53" s="9" t="s">
        <v>222</v>
      </c>
      <c r="H53" s="9" t="s">
        <v>223</v>
      </c>
      <c r="I53" s="9" t="s">
        <v>42</v>
      </c>
      <c r="J53" s="9" t="s">
        <v>65</v>
      </c>
      <c r="K53" s="9" t="s">
        <v>335</v>
      </c>
    </row>
    <row r="54" customFormat="false" ht="22.35" hidden="false" customHeight="false" outlineLevel="0" collapsed="false">
      <c r="A54" s="6" t="s">
        <v>336</v>
      </c>
      <c r="B54" s="7" t="s">
        <v>337</v>
      </c>
      <c r="C54" s="7" t="s">
        <v>338</v>
      </c>
      <c r="D54" s="7" t="s">
        <v>330</v>
      </c>
      <c r="E54" s="7" t="s">
        <v>77</v>
      </c>
      <c r="F54" s="7" t="s">
        <v>77</v>
      </c>
      <c r="G54" s="7" t="s">
        <v>48</v>
      </c>
      <c r="H54" s="7" t="s">
        <v>49</v>
      </c>
      <c r="I54" s="7" t="s">
        <v>42</v>
      </c>
      <c r="J54" s="7" t="s">
        <v>50</v>
      </c>
      <c r="K54" s="7" t="s">
        <v>339</v>
      </c>
    </row>
    <row r="55" customFormat="false" ht="22.35" hidden="false" customHeight="false" outlineLevel="0" collapsed="false">
      <c r="A55" s="8" t="s">
        <v>340</v>
      </c>
      <c r="B55" s="9" t="s">
        <v>341</v>
      </c>
      <c r="C55" s="9" t="s">
        <v>116</v>
      </c>
      <c r="D55" s="9" t="s">
        <v>330</v>
      </c>
      <c r="E55" s="9" t="s">
        <v>40</v>
      </c>
      <c r="F55" s="9" t="s">
        <v>41</v>
      </c>
      <c r="G55" s="9" t="s">
        <v>48</v>
      </c>
      <c r="H55" s="9" t="s">
        <v>49</v>
      </c>
      <c r="I55" s="9" t="s">
        <v>42</v>
      </c>
      <c r="J55" s="9" t="s">
        <v>50</v>
      </c>
      <c r="K55" s="9" t="s">
        <v>342</v>
      </c>
    </row>
    <row r="56" customFormat="false" ht="22.35" hidden="false" customHeight="false" outlineLevel="0" collapsed="false">
      <c r="A56" s="6" t="s">
        <v>343</v>
      </c>
      <c r="B56" s="7" t="s">
        <v>344</v>
      </c>
      <c r="C56" s="7" t="s">
        <v>345</v>
      </c>
      <c r="D56" s="7" t="s">
        <v>346</v>
      </c>
      <c r="E56" s="7" t="s">
        <v>347</v>
      </c>
      <c r="F56" s="7" t="s">
        <v>111</v>
      </c>
      <c r="G56" s="7" t="s">
        <v>48</v>
      </c>
      <c r="H56" s="7" t="s">
        <v>49</v>
      </c>
      <c r="I56" s="7" t="s">
        <v>42</v>
      </c>
      <c r="J56" s="7" t="s">
        <v>117</v>
      </c>
      <c r="K56" s="7" t="s">
        <v>348</v>
      </c>
    </row>
    <row r="57" customFormat="false" ht="22.35" hidden="false" customHeight="false" outlineLevel="0" collapsed="false">
      <c r="A57" s="8" t="s">
        <v>349</v>
      </c>
      <c r="B57" s="9" t="s">
        <v>350</v>
      </c>
      <c r="C57" s="9" t="s">
        <v>351</v>
      </c>
      <c r="D57" s="9" t="s">
        <v>352</v>
      </c>
      <c r="E57" s="9" t="s">
        <v>40</v>
      </c>
      <c r="F57" s="9" t="s">
        <v>41</v>
      </c>
      <c r="G57" s="9"/>
      <c r="H57" s="9"/>
      <c r="I57" s="9" t="s">
        <v>42</v>
      </c>
      <c r="J57" s="9" t="s">
        <v>65</v>
      </c>
      <c r="K57" s="9" t="s">
        <v>353</v>
      </c>
    </row>
    <row r="58" customFormat="false" ht="22.35" hidden="false" customHeight="false" outlineLevel="0" collapsed="false">
      <c r="A58" s="6" t="s">
        <v>354</v>
      </c>
      <c r="B58" s="7" t="s">
        <v>355</v>
      </c>
      <c r="C58" s="7" t="s">
        <v>356</v>
      </c>
      <c r="D58" s="7" t="s">
        <v>357</v>
      </c>
      <c r="E58" s="7" t="s">
        <v>245</v>
      </c>
      <c r="F58" s="7" t="s">
        <v>246</v>
      </c>
      <c r="G58" s="7" t="s">
        <v>55</v>
      </c>
      <c r="H58" s="7" t="s">
        <v>199</v>
      </c>
      <c r="I58" s="7" t="s">
        <v>42</v>
      </c>
      <c r="J58" s="7" t="s">
        <v>117</v>
      </c>
      <c r="K58" s="7" t="s">
        <v>358</v>
      </c>
    </row>
    <row r="59" customFormat="false" ht="22.35" hidden="false" customHeight="false" outlineLevel="0" collapsed="false">
      <c r="A59" s="8" t="s">
        <v>359</v>
      </c>
      <c r="B59" s="9" t="s">
        <v>360</v>
      </c>
      <c r="C59" s="9" t="s">
        <v>361</v>
      </c>
      <c r="D59" s="9" t="s">
        <v>357</v>
      </c>
      <c r="E59" s="9" t="s">
        <v>95</v>
      </c>
      <c r="F59" s="9" t="s">
        <v>95</v>
      </c>
      <c r="G59" s="9" t="s">
        <v>55</v>
      </c>
      <c r="H59" s="9" t="s">
        <v>232</v>
      </c>
      <c r="I59" s="9" t="s">
        <v>98</v>
      </c>
      <c r="J59" s="9" t="s">
        <v>99</v>
      </c>
      <c r="K59" s="9" t="s">
        <v>362</v>
      </c>
    </row>
    <row r="60" customFormat="false" ht="22.35" hidden="false" customHeight="false" outlineLevel="0" collapsed="false">
      <c r="A60" s="6" t="s">
        <v>363</v>
      </c>
      <c r="B60" s="7" t="s">
        <v>364</v>
      </c>
      <c r="C60" s="7" t="s">
        <v>365</v>
      </c>
      <c r="D60" s="7" t="s">
        <v>366</v>
      </c>
      <c r="E60" s="7" t="s">
        <v>245</v>
      </c>
      <c r="F60" s="7" t="s">
        <v>246</v>
      </c>
      <c r="G60" s="7" t="s">
        <v>71</v>
      </c>
      <c r="H60" s="7" t="s">
        <v>367</v>
      </c>
      <c r="I60" s="7" t="s">
        <v>42</v>
      </c>
      <c r="J60" s="7" t="s">
        <v>99</v>
      </c>
      <c r="K60" s="7" t="s">
        <v>368</v>
      </c>
    </row>
    <row r="61" customFormat="false" ht="15" hidden="false" customHeight="false" outlineLevel="0" collapsed="false">
      <c r="A61" s="8" t="s">
        <v>369</v>
      </c>
      <c r="B61" s="9" t="s">
        <v>370</v>
      </c>
      <c r="C61" s="9" t="s">
        <v>371</v>
      </c>
      <c r="D61" s="9" t="s">
        <v>366</v>
      </c>
      <c r="E61" s="9" t="s">
        <v>40</v>
      </c>
      <c r="F61" s="9" t="s">
        <v>41</v>
      </c>
      <c r="G61" s="9" t="s">
        <v>48</v>
      </c>
      <c r="H61" s="9" t="s">
        <v>176</v>
      </c>
      <c r="I61" s="9" t="s">
        <v>42</v>
      </c>
      <c r="J61" s="9" t="s">
        <v>65</v>
      </c>
      <c r="K61" s="9" t="s">
        <v>372</v>
      </c>
    </row>
    <row r="62" customFormat="false" ht="15" hidden="false" customHeight="false" outlineLevel="0" collapsed="false">
      <c r="A62" s="6" t="s">
        <v>373</v>
      </c>
      <c r="B62" s="7" t="s">
        <v>374</v>
      </c>
      <c r="C62" s="7" t="s">
        <v>375</v>
      </c>
      <c r="D62" s="7" t="s">
        <v>376</v>
      </c>
      <c r="E62" s="7" t="s">
        <v>40</v>
      </c>
      <c r="F62" s="7" t="s">
        <v>41</v>
      </c>
      <c r="G62" s="7" t="s">
        <v>48</v>
      </c>
      <c r="H62" s="7" t="s">
        <v>49</v>
      </c>
      <c r="I62" s="7" t="s">
        <v>42</v>
      </c>
      <c r="J62" s="7" t="s">
        <v>65</v>
      </c>
      <c r="K62" s="7" t="s">
        <v>377</v>
      </c>
    </row>
    <row r="63" customFormat="false" ht="22.35" hidden="false" customHeight="false" outlineLevel="0" collapsed="false">
      <c r="A63" s="8" t="s">
        <v>378</v>
      </c>
      <c r="B63" s="9" t="s">
        <v>379</v>
      </c>
      <c r="C63" s="9" t="s">
        <v>380</v>
      </c>
      <c r="D63" s="9" t="s">
        <v>376</v>
      </c>
      <c r="E63" s="9" t="s">
        <v>347</v>
      </c>
      <c r="F63" s="9" t="s">
        <v>111</v>
      </c>
      <c r="G63" s="9"/>
      <c r="H63" s="9"/>
      <c r="I63" s="9" t="s">
        <v>42</v>
      </c>
      <c r="J63" s="9" t="s">
        <v>65</v>
      </c>
      <c r="K63" s="9" t="s">
        <v>381</v>
      </c>
    </row>
    <row r="64" customFormat="false" ht="22.35" hidden="false" customHeight="false" outlineLevel="0" collapsed="false">
      <c r="A64" s="6" t="s">
        <v>382</v>
      </c>
      <c r="B64" s="7" t="s">
        <v>383</v>
      </c>
      <c r="C64" s="7" t="s">
        <v>47</v>
      </c>
      <c r="D64" s="7" t="s">
        <v>376</v>
      </c>
      <c r="E64" s="7" t="s">
        <v>77</v>
      </c>
      <c r="F64" s="7" t="s">
        <v>77</v>
      </c>
      <c r="G64" s="7" t="s">
        <v>48</v>
      </c>
      <c r="H64" s="7" t="s">
        <v>49</v>
      </c>
      <c r="I64" s="7" t="s">
        <v>42</v>
      </c>
      <c r="J64" s="7" t="s">
        <v>43</v>
      </c>
      <c r="K64" s="7" t="s">
        <v>384</v>
      </c>
    </row>
    <row r="65" customFormat="false" ht="22.35" hidden="false" customHeight="false" outlineLevel="0" collapsed="false">
      <c r="A65" s="8" t="s">
        <v>385</v>
      </c>
      <c r="B65" s="9" t="s">
        <v>386</v>
      </c>
      <c r="C65" s="9" t="s">
        <v>387</v>
      </c>
      <c r="D65" s="9" t="s">
        <v>376</v>
      </c>
      <c r="E65" s="9" t="s">
        <v>40</v>
      </c>
      <c r="F65" s="9" t="s">
        <v>41</v>
      </c>
      <c r="G65" s="9" t="s">
        <v>48</v>
      </c>
      <c r="H65" s="9" t="s">
        <v>49</v>
      </c>
      <c r="I65" s="9" t="s">
        <v>42</v>
      </c>
      <c r="J65" s="9" t="s">
        <v>50</v>
      </c>
      <c r="K65" s="9" t="s">
        <v>388</v>
      </c>
    </row>
    <row r="66" customFormat="false" ht="15" hidden="false" customHeight="false" outlineLevel="0" collapsed="false">
      <c r="A66" s="6" t="s">
        <v>389</v>
      </c>
      <c r="B66" s="7" t="s">
        <v>390</v>
      </c>
      <c r="C66" s="7" t="s">
        <v>391</v>
      </c>
      <c r="D66" s="7" t="s">
        <v>376</v>
      </c>
      <c r="E66" s="7" t="s">
        <v>40</v>
      </c>
      <c r="F66" s="7" t="s">
        <v>41</v>
      </c>
      <c r="G66" s="7" t="s">
        <v>96</v>
      </c>
      <c r="H66" s="7" t="s">
        <v>97</v>
      </c>
      <c r="I66" s="7" t="s">
        <v>42</v>
      </c>
      <c r="J66" s="7" t="s">
        <v>43</v>
      </c>
      <c r="K66" s="7" t="s">
        <v>392</v>
      </c>
    </row>
    <row r="67" customFormat="false" ht="22.35" hidden="false" customHeight="false" outlineLevel="0" collapsed="false">
      <c r="A67" s="8" t="s">
        <v>393</v>
      </c>
      <c r="B67" s="9" t="s">
        <v>394</v>
      </c>
      <c r="C67" s="9" t="s">
        <v>395</v>
      </c>
      <c r="D67" s="9" t="s">
        <v>376</v>
      </c>
      <c r="E67" s="9" t="s">
        <v>40</v>
      </c>
      <c r="F67" s="9" t="s">
        <v>41</v>
      </c>
      <c r="G67" s="9" t="s">
        <v>48</v>
      </c>
      <c r="H67" s="9" t="s">
        <v>49</v>
      </c>
      <c r="I67" s="9" t="s">
        <v>42</v>
      </c>
      <c r="J67" s="9" t="s">
        <v>50</v>
      </c>
      <c r="K67" s="9" t="s">
        <v>396</v>
      </c>
    </row>
    <row r="68" customFormat="false" ht="15" hidden="false" customHeight="false" outlineLevel="0" collapsed="false">
      <c r="A68" s="6" t="s">
        <v>397</v>
      </c>
      <c r="B68" s="7" t="s">
        <v>398</v>
      </c>
      <c r="C68" s="7" t="s">
        <v>399</v>
      </c>
      <c r="D68" s="7" t="s">
        <v>400</v>
      </c>
      <c r="E68" s="7" t="s">
        <v>40</v>
      </c>
      <c r="F68" s="7" t="s">
        <v>41</v>
      </c>
      <c r="G68" s="7" t="s">
        <v>96</v>
      </c>
      <c r="H68" s="7" t="s">
        <v>142</v>
      </c>
      <c r="I68" s="7" t="s">
        <v>42</v>
      </c>
      <c r="J68" s="7" t="s">
        <v>233</v>
      </c>
      <c r="K68" s="7" t="s">
        <v>401</v>
      </c>
    </row>
    <row r="69" customFormat="false" ht="22.35" hidden="false" customHeight="false" outlineLevel="0" collapsed="false">
      <c r="A69" s="8" t="s">
        <v>402</v>
      </c>
      <c r="B69" s="9" t="s">
        <v>403</v>
      </c>
      <c r="C69" s="9" t="s">
        <v>404</v>
      </c>
      <c r="D69" s="9" t="s">
        <v>405</v>
      </c>
      <c r="E69" s="9" t="s">
        <v>347</v>
      </c>
      <c r="F69" s="9" t="s">
        <v>111</v>
      </c>
      <c r="G69" s="9" t="s">
        <v>48</v>
      </c>
      <c r="H69" s="9" t="s">
        <v>49</v>
      </c>
      <c r="I69" s="9" t="s">
        <v>42</v>
      </c>
      <c r="J69" s="9" t="s">
        <v>65</v>
      </c>
      <c r="K69" s="9" t="s">
        <v>406</v>
      </c>
    </row>
    <row r="70" customFormat="false" ht="22.35" hidden="false" customHeight="false" outlineLevel="0" collapsed="false">
      <c r="A70" s="6" t="s">
        <v>407</v>
      </c>
      <c r="B70" s="7" t="s">
        <v>408</v>
      </c>
      <c r="C70" s="7" t="s">
        <v>409</v>
      </c>
      <c r="D70" s="7" t="s">
        <v>405</v>
      </c>
      <c r="E70" s="7" t="s">
        <v>40</v>
      </c>
      <c r="F70" s="7" t="s">
        <v>41</v>
      </c>
      <c r="G70" s="7" t="s">
        <v>96</v>
      </c>
      <c r="H70" s="7" t="s">
        <v>97</v>
      </c>
      <c r="I70" s="7" t="s">
        <v>42</v>
      </c>
      <c r="J70" s="7" t="s">
        <v>65</v>
      </c>
      <c r="K70" s="7" t="s">
        <v>410</v>
      </c>
    </row>
    <row r="71" customFormat="false" ht="15" hidden="false" customHeight="false" outlineLevel="0" collapsed="false">
      <c r="A71" s="8" t="s">
        <v>411</v>
      </c>
      <c r="B71" s="9" t="s">
        <v>412</v>
      </c>
      <c r="C71" s="9" t="s">
        <v>413</v>
      </c>
      <c r="D71" s="9" t="s">
        <v>414</v>
      </c>
      <c r="E71" s="9" t="s">
        <v>415</v>
      </c>
      <c r="F71" s="9" t="s">
        <v>246</v>
      </c>
      <c r="G71" s="9" t="s">
        <v>283</v>
      </c>
      <c r="H71" s="9" t="s">
        <v>416</v>
      </c>
      <c r="I71" s="9" t="s">
        <v>98</v>
      </c>
      <c r="J71" s="9" t="s">
        <v>233</v>
      </c>
      <c r="K71" s="9" t="s">
        <v>417</v>
      </c>
    </row>
    <row r="72" customFormat="false" ht="15" hidden="false" customHeight="false" outlineLevel="0" collapsed="false">
      <c r="A72" s="6" t="s">
        <v>418</v>
      </c>
      <c r="B72" s="7" t="s">
        <v>419</v>
      </c>
      <c r="C72" s="7" t="s">
        <v>420</v>
      </c>
      <c r="D72" s="7" t="s">
        <v>421</v>
      </c>
      <c r="E72" s="7" t="s">
        <v>40</v>
      </c>
      <c r="F72" s="7" t="s">
        <v>41</v>
      </c>
      <c r="G72" s="7" t="s">
        <v>55</v>
      </c>
      <c r="H72" s="7" t="s">
        <v>290</v>
      </c>
      <c r="I72" s="7" t="s">
        <v>42</v>
      </c>
      <c r="J72" s="7" t="s">
        <v>65</v>
      </c>
      <c r="K72" s="7" t="s">
        <v>422</v>
      </c>
    </row>
    <row r="73" customFormat="false" ht="15" hidden="false" customHeight="false" outlineLevel="0" collapsed="false">
      <c r="A73" s="8" t="s">
        <v>423</v>
      </c>
      <c r="B73" s="9" t="s">
        <v>424</v>
      </c>
      <c r="C73" s="9" t="s">
        <v>425</v>
      </c>
      <c r="D73" s="9" t="s">
        <v>421</v>
      </c>
      <c r="E73" s="9" t="s">
        <v>426</v>
      </c>
      <c r="F73" s="9" t="s">
        <v>246</v>
      </c>
      <c r="G73" s="9" t="s">
        <v>48</v>
      </c>
      <c r="H73" s="9" t="s">
        <v>49</v>
      </c>
      <c r="I73" s="9" t="s">
        <v>42</v>
      </c>
      <c r="J73" s="9" t="s">
        <v>65</v>
      </c>
      <c r="K73" s="9" t="s">
        <v>427</v>
      </c>
    </row>
    <row r="74" customFormat="false" ht="22.35" hidden="false" customHeight="false" outlineLevel="0" collapsed="false">
      <c r="A74" s="6" t="s">
        <v>428</v>
      </c>
      <c r="B74" s="7" t="s">
        <v>429</v>
      </c>
      <c r="C74" s="7" t="s">
        <v>430</v>
      </c>
      <c r="D74" s="7" t="s">
        <v>421</v>
      </c>
      <c r="E74" s="7" t="s">
        <v>40</v>
      </c>
      <c r="F74" s="7" t="s">
        <v>41</v>
      </c>
      <c r="G74" s="7" t="s">
        <v>48</v>
      </c>
      <c r="H74" s="7" t="s">
        <v>49</v>
      </c>
      <c r="I74" s="7" t="s">
        <v>42</v>
      </c>
      <c r="J74" s="7" t="s">
        <v>43</v>
      </c>
      <c r="K74" s="7" t="s">
        <v>431</v>
      </c>
    </row>
    <row r="75" customFormat="false" ht="22.35" hidden="false" customHeight="false" outlineLevel="0" collapsed="false">
      <c r="A75" s="8" t="s">
        <v>432</v>
      </c>
      <c r="B75" s="9" t="s">
        <v>433</v>
      </c>
      <c r="C75" s="9" t="s">
        <v>434</v>
      </c>
      <c r="D75" s="9" t="s">
        <v>421</v>
      </c>
      <c r="E75" s="9" t="s">
        <v>40</v>
      </c>
      <c r="F75" s="9" t="s">
        <v>41</v>
      </c>
      <c r="G75" s="9" t="s">
        <v>48</v>
      </c>
      <c r="H75" s="9" t="s">
        <v>112</v>
      </c>
      <c r="I75" s="9" t="s">
        <v>42</v>
      </c>
      <c r="J75" s="9" t="s">
        <v>43</v>
      </c>
      <c r="K75" s="9" t="s">
        <v>435</v>
      </c>
    </row>
    <row r="76" customFormat="false" ht="22.35" hidden="false" customHeight="false" outlineLevel="0" collapsed="false">
      <c r="A76" s="6" t="s">
        <v>436</v>
      </c>
      <c r="B76" s="7" t="s">
        <v>437</v>
      </c>
      <c r="C76" s="7" t="s">
        <v>438</v>
      </c>
      <c r="D76" s="7" t="s">
        <v>421</v>
      </c>
      <c r="E76" s="7" t="s">
        <v>210</v>
      </c>
      <c r="F76" s="7" t="s">
        <v>41</v>
      </c>
      <c r="G76" s="7" t="s">
        <v>48</v>
      </c>
      <c r="H76" s="7" t="s">
        <v>49</v>
      </c>
      <c r="I76" s="7" t="s">
        <v>42</v>
      </c>
      <c r="J76" s="7" t="s">
        <v>50</v>
      </c>
      <c r="K76" s="7" t="s">
        <v>439</v>
      </c>
    </row>
    <row r="77" customFormat="false" ht="22.35" hidden="false" customHeight="false" outlineLevel="0" collapsed="false">
      <c r="A77" s="8" t="s">
        <v>440</v>
      </c>
      <c r="B77" s="9" t="s">
        <v>441</v>
      </c>
      <c r="C77" s="9" t="s">
        <v>442</v>
      </c>
      <c r="D77" s="9" t="s">
        <v>421</v>
      </c>
      <c r="E77" s="9" t="s">
        <v>77</v>
      </c>
      <c r="F77" s="9" t="s">
        <v>77</v>
      </c>
      <c r="G77" s="9" t="s">
        <v>48</v>
      </c>
      <c r="H77" s="9" t="s">
        <v>49</v>
      </c>
      <c r="I77" s="9" t="s">
        <v>42</v>
      </c>
      <c r="J77" s="9" t="s">
        <v>57</v>
      </c>
      <c r="K77" s="9" t="s">
        <v>443</v>
      </c>
    </row>
    <row r="78" customFormat="false" ht="15" hidden="false" customHeight="false" outlineLevel="0" collapsed="false">
      <c r="A78" s="6" t="s">
        <v>444</v>
      </c>
      <c r="B78" s="7" t="s">
        <v>445</v>
      </c>
      <c r="C78" s="7" t="s">
        <v>446</v>
      </c>
      <c r="D78" s="7" t="s">
        <v>421</v>
      </c>
      <c r="E78" s="7" t="s">
        <v>40</v>
      </c>
      <c r="F78" s="7" t="s">
        <v>41</v>
      </c>
      <c r="G78" s="7" t="s">
        <v>48</v>
      </c>
      <c r="H78" s="7" t="s">
        <v>49</v>
      </c>
      <c r="I78" s="7" t="s">
        <v>42</v>
      </c>
      <c r="J78" s="7" t="s">
        <v>43</v>
      </c>
      <c r="K78" s="7" t="s">
        <v>447</v>
      </c>
    </row>
    <row r="79" customFormat="false" ht="22.35" hidden="false" customHeight="false" outlineLevel="0" collapsed="false">
      <c r="A79" s="8" t="s">
        <v>448</v>
      </c>
      <c r="B79" s="9" t="s">
        <v>449</v>
      </c>
      <c r="C79" s="9" t="s">
        <v>450</v>
      </c>
      <c r="D79" s="9" t="s">
        <v>451</v>
      </c>
      <c r="E79" s="9" t="s">
        <v>40</v>
      </c>
      <c r="F79" s="9" t="s">
        <v>41</v>
      </c>
      <c r="G79" s="9" t="s">
        <v>48</v>
      </c>
      <c r="H79" s="9" t="s">
        <v>176</v>
      </c>
      <c r="I79" s="9" t="s">
        <v>42</v>
      </c>
      <c r="J79" s="9" t="s">
        <v>99</v>
      </c>
      <c r="K79" s="9" t="s">
        <v>452</v>
      </c>
    </row>
    <row r="80" customFormat="false" ht="22.35" hidden="false" customHeight="false" outlineLevel="0" collapsed="false">
      <c r="A80" s="6" t="s">
        <v>453</v>
      </c>
      <c r="B80" s="7" t="s">
        <v>454</v>
      </c>
      <c r="C80" s="7" t="s">
        <v>455</v>
      </c>
      <c r="D80" s="7" t="s">
        <v>456</v>
      </c>
      <c r="E80" s="7" t="s">
        <v>40</v>
      </c>
      <c r="F80" s="7" t="s">
        <v>41</v>
      </c>
      <c r="G80" s="7" t="s">
        <v>63</v>
      </c>
      <c r="H80" s="7" t="s">
        <v>64</v>
      </c>
      <c r="I80" s="7" t="s">
        <v>42</v>
      </c>
      <c r="J80" s="7" t="s">
        <v>65</v>
      </c>
      <c r="K80" s="7" t="s">
        <v>457</v>
      </c>
    </row>
    <row r="81" customFormat="false" ht="22.35" hidden="false" customHeight="false" outlineLevel="0" collapsed="false">
      <c r="A81" s="8" t="s">
        <v>458</v>
      </c>
      <c r="B81" s="9" t="s">
        <v>459</v>
      </c>
      <c r="C81" s="9" t="s">
        <v>460</v>
      </c>
      <c r="D81" s="9" t="s">
        <v>461</v>
      </c>
      <c r="E81" s="9" t="s">
        <v>40</v>
      </c>
      <c r="F81" s="9" t="s">
        <v>41</v>
      </c>
      <c r="G81" s="9" t="s">
        <v>49</v>
      </c>
      <c r="H81" s="9"/>
      <c r="I81" s="9" t="s">
        <v>462</v>
      </c>
      <c r="J81" s="9" t="s">
        <v>117</v>
      </c>
      <c r="K81" s="9" t="s">
        <v>463</v>
      </c>
    </row>
    <row r="82" customFormat="false" ht="15" hidden="false" customHeight="false" outlineLevel="0" collapsed="false">
      <c r="A82" s="6" t="s">
        <v>464</v>
      </c>
      <c r="B82" s="7" t="s">
        <v>465</v>
      </c>
      <c r="C82" s="7" t="s">
        <v>466</v>
      </c>
      <c r="D82" s="7" t="s">
        <v>467</v>
      </c>
      <c r="E82" s="7" t="s">
        <v>40</v>
      </c>
      <c r="F82" s="7" t="s">
        <v>41</v>
      </c>
      <c r="G82" s="7" t="s">
        <v>96</v>
      </c>
      <c r="H82" s="7" t="s">
        <v>142</v>
      </c>
      <c r="I82" s="7" t="s">
        <v>42</v>
      </c>
      <c r="J82" s="7" t="s">
        <v>65</v>
      </c>
      <c r="K82" s="7" t="s">
        <v>468</v>
      </c>
    </row>
    <row r="83" customFormat="false" ht="22.35" hidden="false" customHeight="false" outlineLevel="0" collapsed="false">
      <c r="A83" s="8" t="s">
        <v>469</v>
      </c>
      <c r="B83" s="9" t="s">
        <v>470</v>
      </c>
      <c r="C83" s="9" t="s">
        <v>471</v>
      </c>
      <c r="D83" s="9" t="s">
        <v>472</v>
      </c>
      <c r="E83" s="9" t="s">
        <v>40</v>
      </c>
      <c r="F83" s="9" t="s">
        <v>41</v>
      </c>
      <c r="G83" s="9" t="s">
        <v>48</v>
      </c>
      <c r="H83" s="9" t="s">
        <v>49</v>
      </c>
      <c r="I83" s="9" t="s">
        <v>42</v>
      </c>
      <c r="J83" s="9" t="s">
        <v>65</v>
      </c>
      <c r="K83" s="9" t="s">
        <v>473</v>
      </c>
    </row>
    <row r="84" customFormat="false" ht="15" hidden="false" customHeight="false" outlineLevel="0" collapsed="false">
      <c r="A84" s="6" t="s">
        <v>474</v>
      </c>
      <c r="B84" s="7" t="s">
        <v>475</v>
      </c>
      <c r="C84" s="7" t="s">
        <v>476</v>
      </c>
      <c r="D84" s="7" t="s">
        <v>477</v>
      </c>
      <c r="E84" s="7" t="s">
        <v>40</v>
      </c>
      <c r="F84" s="7" t="s">
        <v>41</v>
      </c>
      <c r="G84" s="7" t="s">
        <v>142</v>
      </c>
      <c r="H84" s="7"/>
      <c r="I84" s="7" t="s">
        <v>478</v>
      </c>
      <c r="J84" s="7" t="s">
        <v>117</v>
      </c>
      <c r="K84" s="7" t="s">
        <v>479</v>
      </c>
    </row>
    <row r="85" customFormat="false" ht="22.35" hidden="false" customHeight="false" outlineLevel="0" collapsed="false">
      <c r="A85" s="8" t="s">
        <v>480</v>
      </c>
      <c r="B85" s="9" t="s">
        <v>481</v>
      </c>
      <c r="C85" s="9" t="s">
        <v>482</v>
      </c>
      <c r="D85" s="9" t="s">
        <v>483</v>
      </c>
      <c r="E85" s="9" t="s">
        <v>95</v>
      </c>
      <c r="F85" s="9" t="s">
        <v>95</v>
      </c>
      <c r="G85" s="9" t="s">
        <v>55</v>
      </c>
      <c r="H85" s="9" t="s">
        <v>484</v>
      </c>
      <c r="I85" s="9" t="s">
        <v>485</v>
      </c>
      <c r="J85" s="9" t="s">
        <v>99</v>
      </c>
      <c r="K85" s="9" t="s">
        <v>486</v>
      </c>
    </row>
    <row r="86" customFormat="false" ht="15" hidden="false" customHeight="false" outlineLevel="0" collapsed="false">
      <c r="A86" s="6" t="s">
        <v>487</v>
      </c>
      <c r="B86" s="7" t="s">
        <v>488</v>
      </c>
      <c r="C86" s="7" t="s">
        <v>489</v>
      </c>
      <c r="D86" s="7" t="s">
        <v>490</v>
      </c>
      <c r="E86" s="7" t="s">
        <v>40</v>
      </c>
      <c r="F86" s="7" t="s">
        <v>41</v>
      </c>
      <c r="G86" s="7" t="s">
        <v>63</v>
      </c>
      <c r="H86" s="7" t="s">
        <v>64</v>
      </c>
      <c r="I86" s="7" t="s">
        <v>491</v>
      </c>
      <c r="J86" s="7" t="s">
        <v>99</v>
      </c>
      <c r="K86" s="7" t="s">
        <v>492</v>
      </c>
    </row>
    <row r="87" customFormat="false" ht="22.35" hidden="false" customHeight="false" outlineLevel="0" collapsed="false">
      <c r="A87" s="8" t="s">
        <v>493</v>
      </c>
      <c r="B87" s="9" t="s">
        <v>494</v>
      </c>
      <c r="C87" s="9" t="s">
        <v>495</v>
      </c>
      <c r="D87" s="9" t="s">
        <v>490</v>
      </c>
      <c r="E87" s="9" t="s">
        <v>40</v>
      </c>
      <c r="F87" s="9" t="s">
        <v>41</v>
      </c>
      <c r="G87" s="9"/>
      <c r="H87" s="9"/>
      <c r="I87" s="9" t="s">
        <v>42</v>
      </c>
      <c r="J87" s="9" t="s">
        <v>57</v>
      </c>
      <c r="K87" s="9" t="s">
        <v>496</v>
      </c>
    </row>
    <row r="88" customFormat="false" ht="15" hidden="false" customHeight="false" outlineLevel="0" collapsed="false">
      <c r="A88" s="6" t="s">
        <v>497</v>
      </c>
      <c r="B88" s="7" t="s">
        <v>498</v>
      </c>
      <c r="C88" s="7" t="s">
        <v>499</v>
      </c>
      <c r="D88" s="7" t="s">
        <v>490</v>
      </c>
      <c r="E88" s="7" t="s">
        <v>40</v>
      </c>
      <c r="F88" s="7" t="s">
        <v>41</v>
      </c>
      <c r="G88" s="7" t="s">
        <v>48</v>
      </c>
      <c r="H88" s="7" t="s">
        <v>112</v>
      </c>
      <c r="I88" s="7" t="s">
        <v>42</v>
      </c>
      <c r="J88" s="7" t="s">
        <v>43</v>
      </c>
      <c r="K88" s="7" t="s">
        <v>500</v>
      </c>
    </row>
    <row r="89" customFormat="false" ht="22.35" hidden="false" customHeight="false" outlineLevel="0" collapsed="false">
      <c r="A89" s="8" t="s">
        <v>501</v>
      </c>
      <c r="B89" s="9" t="s">
        <v>502</v>
      </c>
      <c r="C89" s="9" t="s">
        <v>503</v>
      </c>
      <c r="D89" s="9" t="s">
        <v>504</v>
      </c>
      <c r="E89" s="9" t="s">
        <v>505</v>
      </c>
      <c r="F89" s="9" t="s">
        <v>111</v>
      </c>
      <c r="G89" s="9" t="s">
        <v>506</v>
      </c>
      <c r="H89" s="9"/>
      <c r="I89" s="9" t="s">
        <v>325</v>
      </c>
      <c r="J89" s="9" t="s">
        <v>99</v>
      </c>
      <c r="K89" s="9" t="s">
        <v>507</v>
      </c>
    </row>
    <row r="90" customFormat="false" ht="22.35" hidden="false" customHeight="false" outlineLevel="0" collapsed="false">
      <c r="A90" s="6" t="s">
        <v>508</v>
      </c>
      <c r="B90" s="7" t="s">
        <v>509</v>
      </c>
      <c r="C90" s="7" t="s">
        <v>510</v>
      </c>
      <c r="D90" s="7" t="s">
        <v>511</v>
      </c>
      <c r="E90" s="7" t="s">
        <v>217</v>
      </c>
      <c r="F90" s="7" t="s">
        <v>41</v>
      </c>
      <c r="G90" s="7" t="s">
        <v>48</v>
      </c>
      <c r="H90" s="7" t="s">
        <v>49</v>
      </c>
      <c r="I90" s="7" t="s">
        <v>42</v>
      </c>
      <c r="J90" s="7" t="s">
        <v>512</v>
      </c>
      <c r="K90" s="7" t="s">
        <v>513</v>
      </c>
    </row>
    <row r="91" customFormat="false" ht="22.35" hidden="false" customHeight="false" outlineLevel="0" collapsed="false">
      <c r="A91" s="8" t="s">
        <v>514</v>
      </c>
      <c r="B91" s="9" t="s">
        <v>515</v>
      </c>
      <c r="C91" s="9" t="s">
        <v>516</v>
      </c>
      <c r="D91" s="9" t="s">
        <v>511</v>
      </c>
      <c r="E91" s="9" t="s">
        <v>217</v>
      </c>
      <c r="F91" s="9" t="s">
        <v>41</v>
      </c>
      <c r="G91" s="9" t="s">
        <v>48</v>
      </c>
      <c r="H91" s="9" t="s">
        <v>112</v>
      </c>
      <c r="I91" s="9" t="s">
        <v>98</v>
      </c>
      <c r="J91" s="9" t="s">
        <v>65</v>
      </c>
      <c r="K91" s="9" t="s">
        <v>517</v>
      </c>
    </row>
    <row r="92" customFormat="false" ht="22.35" hidden="false" customHeight="false" outlineLevel="0" collapsed="false">
      <c r="A92" s="6" t="s">
        <v>518</v>
      </c>
      <c r="B92" s="7" t="s">
        <v>519</v>
      </c>
      <c r="C92" s="7" t="s">
        <v>520</v>
      </c>
      <c r="D92" s="7" t="s">
        <v>511</v>
      </c>
      <c r="E92" s="7" t="s">
        <v>95</v>
      </c>
      <c r="F92" s="7" t="s">
        <v>95</v>
      </c>
      <c r="G92" s="7" t="s">
        <v>55</v>
      </c>
      <c r="H92" s="7" t="s">
        <v>56</v>
      </c>
      <c r="I92" s="7" t="s">
        <v>98</v>
      </c>
      <c r="J92" s="7" t="s">
        <v>512</v>
      </c>
      <c r="K92" s="7" t="s">
        <v>521</v>
      </c>
    </row>
    <row r="93" customFormat="false" ht="32.8" hidden="false" customHeight="false" outlineLevel="0" collapsed="false">
      <c r="A93" s="8" t="s">
        <v>522</v>
      </c>
      <c r="B93" s="9" t="s">
        <v>523</v>
      </c>
      <c r="C93" s="9" t="s">
        <v>524</v>
      </c>
      <c r="D93" s="9" t="s">
        <v>511</v>
      </c>
      <c r="E93" s="9" t="s">
        <v>95</v>
      </c>
      <c r="F93" s="9" t="s">
        <v>95</v>
      </c>
      <c r="G93" s="9" t="s">
        <v>154</v>
      </c>
      <c r="H93" s="9" t="s">
        <v>525</v>
      </c>
      <c r="I93" s="9" t="s">
        <v>285</v>
      </c>
      <c r="J93" s="9" t="s">
        <v>512</v>
      </c>
      <c r="K93" s="9" t="s">
        <v>526</v>
      </c>
    </row>
    <row r="94" customFormat="false" ht="15" hidden="false" customHeight="false" outlineLevel="0" collapsed="false">
      <c r="A94" s="6" t="s">
        <v>527</v>
      </c>
      <c r="B94" s="7" t="s">
        <v>528</v>
      </c>
      <c r="C94" s="7" t="s">
        <v>529</v>
      </c>
      <c r="D94" s="7" t="s">
        <v>511</v>
      </c>
      <c r="E94" s="7" t="s">
        <v>40</v>
      </c>
      <c r="F94" s="7" t="s">
        <v>41</v>
      </c>
      <c r="G94" s="7" t="s">
        <v>222</v>
      </c>
      <c r="H94" s="7" t="s">
        <v>223</v>
      </c>
      <c r="I94" s="7" t="s">
        <v>42</v>
      </c>
      <c r="J94" s="7" t="s">
        <v>117</v>
      </c>
      <c r="K94" s="7" t="s">
        <v>530</v>
      </c>
    </row>
    <row r="95" customFormat="false" ht="22.35" hidden="false" customHeight="false" outlineLevel="0" collapsed="false">
      <c r="A95" s="8" t="s">
        <v>531</v>
      </c>
      <c r="B95" s="9" t="s">
        <v>532</v>
      </c>
      <c r="C95" s="9" t="s">
        <v>533</v>
      </c>
      <c r="D95" s="9" t="s">
        <v>534</v>
      </c>
      <c r="E95" s="9" t="s">
        <v>40</v>
      </c>
      <c r="F95" s="9" t="s">
        <v>41</v>
      </c>
      <c r="G95" s="9" t="s">
        <v>55</v>
      </c>
      <c r="H95" s="9" t="s">
        <v>199</v>
      </c>
      <c r="I95" s="9" t="s">
        <v>42</v>
      </c>
      <c r="J95" s="9" t="s">
        <v>50</v>
      </c>
      <c r="K95" s="9" t="s">
        <v>535</v>
      </c>
    </row>
    <row r="96" customFormat="false" ht="15" hidden="false" customHeight="false" outlineLevel="0" collapsed="false">
      <c r="A96" s="6" t="s">
        <v>536</v>
      </c>
      <c r="B96" s="7" t="s">
        <v>537</v>
      </c>
      <c r="C96" s="7" t="s">
        <v>538</v>
      </c>
      <c r="D96" s="7" t="s">
        <v>539</v>
      </c>
      <c r="E96" s="7" t="s">
        <v>40</v>
      </c>
      <c r="F96" s="7" t="s">
        <v>41</v>
      </c>
      <c r="G96" s="7"/>
      <c r="H96" s="7"/>
      <c r="I96" s="7" t="s">
        <v>42</v>
      </c>
      <c r="J96" s="7" t="s">
        <v>50</v>
      </c>
      <c r="K96" s="7" t="s">
        <v>540</v>
      </c>
    </row>
    <row r="97" customFormat="false" ht="15" hidden="false" customHeight="false" outlineLevel="0" collapsed="false">
      <c r="A97" s="8" t="s">
        <v>541</v>
      </c>
      <c r="B97" s="9" t="s">
        <v>542</v>
      </c>
      <c r="C97" s="9" t="s">
        <v>543</v>
      </c>
      <c r="D97" s="9" t="s">
        <v>539</v>
      </c>
      <c r="E97" s="9" t="s">
        <v>40</v>
      </c>
      <c r="F97" s="9" t="s">
        <v>41</v>
      </c>
      <c r="G97" s="9" t="s">
        <v>154</v>
      </c>
      <c r="H97" s="9" t="s">
        <v>525</v>
      </c>
      <c r="I97" s="9" t="s">
        <v>42</v>
      </c>
      <c r="J97" s="9" t="s">
        <v>50</v>
      </c>
      <c r="K97" s="9" t="s">
        <v>544</v>
      </c>
    </row>
    <row r="98" customFormat="false" ht="15" hidden="false" customHeight="false" outlineLevel="0" collapsed="false">
      <c r="A98" s="6" t="s">
        <v>545</v>
      </c>
      <c r="B98" s="7" t="s">
        <v>546</v>
      </c>
      <c r="C98" s="7" t="s">
        <v>547</v>
      </c>
      <c r="D98" s="7" t="s">
        <v>539</v>
      </c>
      <c r="E98" s="7" t="s">
        <v>40</v>
      </c>
      <c r="F98" s="7" t="s">
        <v>41</v>
      </c>
      <c r="G98" s="7" t="s">
        <v>48</v>
      </c>
      <c r="H98" s="7" t="s">
        <v>176</v>
      </c>
      <c r="I98" s="7" t="s">
        <v>42</v>
      </c>
      <c r="J98" s="7" t="s">
        <v>99</v>
      </c>
      <c r="K98" s="7" t="s">
        <v>548</v>
      </c>
    </row>
    <row r="99" customFormat="false" ht="22.35" hidden="false" customHeight="false" outlineLevel="0" collapsed="false">
      <c r="A99" s="8" t="s">
        <v>549</v>
      </c>
      <c r="B99" s="9" t="s">
        <v>550</v>
      </c>
      <c r="C99" s="9" t="s">
        <v>551</v>
      </c>
      <c r="D99" s="9" t="s">
        <v>539</v>
      </c>
      <c r="E99" s="9" t="s">
        <v>40</v>
      </c>
      <c r="F99" s="9" t="s">
        <v>41</v>
      </c>
      <c r="G99" s="9" t="s">
        <v>55</v>
      </c>
      <c r="H99" s="9" t="s">
        <v>552</v>
      </c>
      <c r="I99" s="9" t="s">
        <v>42</v>
      </c>
      <c r="J99" s="9" t="s">
        <v>50</v>
      </c>
      <c r="K99" s="9" t="s">
        <v>553</v>
      </c>
    </row>
    <row r="100" customFormat="false" ht="22.35" hidden="false" customHeight="false" outlineLevel="0" collapsed="false">
      <c r="A100" s="6" t="s">
        <v>554</v>
      </c>
      <c r="B100" s="7" t="s">
        <v>555</v>
      </c>
      <c r="C100" s="7" t="s">
        <v>556</v>
      </c>
      <c r="D100" s="7" t="s">
        <v>539</v>
      </c>
      <c r="E100" s="7" t="s">
        <v>40</v>
      </c>
      <c r="F100" s="7" t="s">
        <v>41</v>
      </c>
      <c r="G100" s="7"/>
      <c r="H100" s="7"/>
      <c r="I100" s="7" t="s">
        <v>42</v>
      </c>
      <c r="J100" s="7" t="s">
        <v>99</v>
      </c>
      <c r="K100" s="7" t="s">
        <v>557</v>
      </c>
    </row>
    <row r="101" customFormat="false" ht="22.35" hidden="false" customHeight="false" outlineLevel="0" collapsed="false">
      <c r="A101" s="8" t="s">
        <v>558</v>
      </c>
      <c r="B101" s="9" t="s">
        <v>559</v>
      </c>
      <c r="C101" s="9" t="s">
        <v>560</v>
      </c>
      <c r="D101" s="9" t="s">
        <v>561</v>
      </c>
      <c r="E101" s="9" t="s">
        <v>562</v>
      </c>
      <c r="F101" s="9" t="s">
        <v>246</v>
      </c>
      <c r="G101" s="9" t="s">
        <v>55</v>
      </c>
      <c r="H101" s="9" t="s">
        <v>563</v>
      </c>
      <c r="I101" s="9" t="s">
        <v>564</v>
      </c>
      <c r="J101" s="9" t="s">
        <v>99</v>
      </c>
      <c r="K101" s="9" t="s">
        <v>565</v>
      </c>
    </row>
    <row r="102" customFormat="false" ht="22.35" hidden="false" customHeight="false" outlineLevel="0" collapsed="false">
      <c r="A102" s="6" t="s">
        <v>566</v>
      </c>
      <c r="B102" s="7" t="s">
        <v>567</v>
      </c>
      <c r="C102" s="7" t="s">
        <v>568</v>
      </c>
      <c r="D102" s="7" t="s">
        <v>569</v>
      </c>
      <c r="E102" s="7" t="s">
        <v>570</v>
      </c>
      <c r="F102" s="7" t="s">
        <v>246</v>
      </c>
      <c r="G102" s="7" t="s">
        <v>48</v>
      </c>
      <c r="H102" s="7" t="s">
        <v>49</v>
      </c>
      <c r="I102" s="7" t="s">
        <v>42</v>
      </c>
      <c r="J102" s="7" t="s">
        <v>233</v>
      </c>
      <c r="K102" s="7" t="s">
        <v>571</v>
      </c>
    </row>
    <row r="103" customFormat="false" ht="32.8" hidden="false" customHeight="false" outlineLevel="0" collapsed="false">
      <c r="A103" s="8" t="s">
        <v>572</v>
      </c>
      <c r="B103" s="9" t="s">
        <v>573</v>
      </c>
      <c r="C103" s="9" t="s">
        <v>574</v>
      </c>
      <c r="D103" s="9" t="s">
        <v>569</v>
      </c>
      <c r="E103" s="9" t="s">
        <v>347</v>
      </c>
      <c r="F103" s="9" t="s">
        <v>111</v>
      </c>
      <c r="G103" s="9" t="s">
        <v>48</v>
      </c>
      <c r="H103" s="9" t="s">
        <v>112</v>
      </c>
      <c r="I103" s="9" t="s">
        <v>285</v>
      </c>
      <c r="J103" s="9" t="s">
        <v>233</v>
      </c>
      <c r="K103" s="9" t="s">
        <v>575</v>
      </c>
    </row>
    <row r="104" customFormat="false" ht="15" hidden="false" customHeight="false" outlineLevel="0" collapsed="false">
      <c r="A104" s="6" t="s">
        <v>576</v>
      </c>
      <c r="B104" s="7" t="s">
        <v>577</v>
      </c>
      <c r="C104" s="7" t="s">
        <v>578</v>
      </c>
      <c r="D104" s="7" t="s">
        <v>579</v>
      </c>
      <c r="E104" s="7" t="s">
        <v>580</v>
      </c>
      <c r="F104" s="7" t="s">
        <v>246</v>
      </c>
      <c r="G104" s="7" t="s">
        <v>48</v>
      </c>
      <c r="H104" s="7" t="s">
        <v>112</v>
      </c>
      <c r="I104" s="7" t="s">
        <v>581</v>
      </c>
      <c r="J104" s="7" t="s">
        <v>117</v>
      </c>
      <c r="K104" s="7" t="s">
        <v>582</v>
      </c>
    </row>
    <row r="105" customFormat="false" ht="15" hidden="false" customHeight="false" outlineLevel="0" collapsed="false">
      <c r="A105" s="8" t="s">
        <v>583</v>
      </c>
      <c r="B105" s="9" t="s">
        <v>584</v>
      </c>
      <c r="C105" s="9" t="s">
        <v>585</v>
      </c>
      <c r="D105" s="9" t="s">
        <v>579</v>
      </c>
      <c r="E105" s="9" t="s">
        <v>40</v>
      </c>
      <c r="F105" s="9" t="s">
        <v>41</v>
      </c>
      <c r="G105" s="9" t="s">
        <v>48</v>
      </c>
      <c r="H105" s="9" t="s">
        <v>49</v>
      </c>
      <c r="I105" s="9" t="s">
        <v>42</v>
      </c>
      <c r="J105" s="9" t="s">
        <v>65</v>
      </c>
      <c r="K105" s="9" t="s">
        <v>586</v>
      </c>
    </row>
    <row r="106" customFormat="false" ht="15" hidden="false" customHeight="false" outlineLevel="0" collapsed="false">
      <c r="A106" s="6" t="s">
        <v>587</v>
      </c>
      <c r="B106" s="7" t="s">
        <v>588</v>
      </c>
      <c r="C106" s="7" t="s">
        <v>589</v>
      </c>
      <c r="D106" s="7" t="s">
        <v>579</v>
      </c>
      <c r="E106" s="7" t="s">
        <v>40</v>
      </c>
      <c r="F106" s="7" t="s">
        <v>41</v>
      </c>
      <c r="G106" s="7" t="s">
        <v>48</v>
      </c>
      <c r="H106" s="7" t="s">
        <v>176</v>
      </c>
      <c r="I106" s="7" t="s">
        <v>42</v>
      </c>
      <c r="J106" s="7" t="s">
        <v>99</v>
      </c>
      <c r="K106" s="7" t="s">
        <v>590</v>
      </c>
    </row>
    <row r="107" customFormat="false" ht="15" hidden="false" customHeight="false" outlineLevel="0" collapsed="false">
      <c r="A107" s="8" t="s">
        <v>591</v>
      </c>
      <c r="B107" s="9" t="s">
        <v>592</v>
      </c>
      <c r="C107" s="9" t="s">
        <v>593</v>
      </c>
      <c r="D107" s="9" t="s">
        <v>594</v>
      </c>
      <c r="E107" s="9" t="s">
        <v>40</v>
      </c>
      <c r="F107" s="9" t="s">
        <v>41</v>
      </c>
      <c r="G107" s="9" t="s">
        <v>48</v>
      </c>
      <c r="H107" s="9" t="s">
        <v>49</v>
      </c>
      <c r="I107" s="9" t="s">
        <v>42</v>
      </c>
      <c r="J107" s="9" t="s">
        <v>65</v>
      </c>
      <c r="K107" s="9" t="s">
        <v>595</v>
      </c>
    </row>
    <row r="108" customFormat="false" ht="22.35" hidden="false" customHeight="false" outlineLevel="0" collapsed="false">
      <c r="A108" s="6" t="s">
        <v>596</v>
      </c>
      <c r="B108" s="7" t="s">
        <v>597</v>
      </c>
      <c r="C108" s="7" t="s">
        <v>598</v>
      </c>
      <c r="D108" s="7" t="s">
        <v>594</v>
      </c>
      <c r="E108" s="7" t="s">
        <v>95</v>
      </c>
      <c r="F108" s="7" t="s">
        <v>95</v>
      </c>
      <c r="G108" s="7" t="s">
        <v>55</v>
      </c>
      <c r="H108" s="7" t="s">
        <v>56</v>
      </c>
      <c r="I108" s="7" t="s">
        <v>285</v>
      </c>
      <c r="J108" s="7" t="s">
        <v>233</v>
      </c>
      <c r="K108" s="7" t="s">
        <v>599</v>
      </c>
    </row>
    <row r="109" customFormat="false" ht="32.8" hidden="false" customHeight="false" outlineLevel="0" collapsed="false">
      <c r="A109" s="8" t="s">
        <v>600</v>
      </c>
      <c r="B109" s="9" t="s">
        <v>601</v>
      </c>
      <c r="C109" s="9" t="s">
        <v>602</v>
      </c>
      <c r="D109" s="9" t="s">
        <v>594</v>
      </c>
      <c r="E109" s="9" t="s">
        <v>95</v>
      </c>
      <c r="F109" s="9" t="s">
        <v>95</v>
      </c>
      <c r="G109" s="9" t="s">
        <v>48</v>
      </c>
      <c r="H109" s="9" t="s">
        <v>49</v>
      </c>
      <c r="I109" s="9" t="s">
        <v>98</v>
      </c>
      <c r="J109" s="9" t="s">
        <v>99</v>
      </c>
      <c r="K109" s="9" t="s">
        <v>603</v>
      </c>
    </row>
    <row r="110" customFormat="false" ht="15" hidden="false" customHeight="false" outlineLevel="0" collapsed="false">
      <c r="A110" s="6" t="s">
        <v>604</v>
      </c>
      <c r="B110" s="7" t="s">
        <v>605</v>
      </c>
      <c r="C110" s="7" t="s">
        <v>606</v>
      </c>
      <c r="D110" s="7" t="s">
        <v>607</v>
      </c>
      <c r="E110" s="7" t="s">
        <v>40</v>
      </c>
      <c r="F110" s="7" t="s">
        <v>41</v>
      </c>
      <c r="G110" s="7" t="s">
        <v>55</v>
      </c>
      <c r="H110" s="7" t="s">
        <v>290</v>
      </c>
      <c r="I110" s="7" t="s">
        <v>608</v>
      </c>
      <c r="J110" s="7" t="s">
        <v>233</v>
      </c>
      <c r="K110" s="7" t="s">
        <v>609</v>
      </c>
    </row>
    <row r="111" customFormat="false" ht="15" hidden="false" customHeight="false" outlineLevel="0" collapsed="false">
      <c r="A111" s="8" t="s">
        <v>610</v>
      </c>
      <c r="B111" s="9" t="s">
        <v>611</v>
      </c>
      <c r="C111" s="9" t="s">
        <v>612</v>
      </c>
      <c r="D111" s="9" t="s">
        <v>607</v>
      </c>
      <c r="E111" s="9" t="s">
        <v>95</v>
      </c>
      <c r="F111" s="9" t="s">
        <v>95</v>
      </c>
      <c r="G111" s="9" t="s">
        <v>55</v>
      </c>
      <c r="H111" s="9" t="s">
        <v>290</v>
      </c>
      <c r="I111" s="9" t="s">
        <v>285</v>
      </c>
      <c r="J111" s="9" t="s">
        <v>65</v>
      </c>
      <c r="K111" s="9" t="s">
        <v>613</v>
      </c>
    </row>
    <row r="112" customFormat="false" ht="15" hidden="false" customHeight="false" outlineLevel="0" collapsed="false">
      <c r="A112" s="6" t="s">
        <v>614</v>
      </c>
      <c r="B112" s="7" t="s">
        <v>615</v>
      </c>
      <c r="C112" s="7" t="s">
        <v>616</v>
      </c>
      <c r="D112" s="7" t="s">
        <v>617</v>
      </c>
      <c r="E112" s="7" t="s">
        <v>40</v>
      </c>
      <c r="F112" s="7" t="s">
        <v>41</v>
      </c>
      <c r="G112" s="7" t="s">
        <v>48</v>
      </c>
      <c r="H112" s="7" t="s">
        <v>49</v>
      </c>
      <c r="I112" s="7" t="s">
        <v>42</v>
      </c>
      <c r="J112" s="7" t="s">
        <v>65</v>
      </c>
      <c r="K112" s="7" t="s">
        <v>618</v>
      </c>
    </row>
    <row r="113" customFormat="false" ht="15" hidden="false" customHeight="false" outlineLevel="0" collapsed="false">
      <c r="A113" s="8" t="s">
        <v>619</v>
      </c>
      <c r="B113" s="9" t="s">
        <v>620</v>
      </c>
      <c r="C113" s="9" t="s">
        <v>140</v>
      </c>
      <c r="D113" s="9" t="s">
        <v>621</v>
      </c>
      <c r="E113" s="9" t="s">
        <v>40</v>
      </c>
      <c r="F113" s="9" t="s">
        <v>41</v>
      </c>
      <c r="G113" s="9" t="s">
        <v>48</v>
      </c>
      <c r="H113" s="9" t="s">
        <v>176</v>
      </c>
      <c r="I113" s="9" t="s">
        <v>622</v>
      </c>
      <c r="J113" s="9" t="s">
        <v>233</v>
      </c>
      <c r="K113" s="9" t="s">
        <v>623</v>
      </c>
    </row>
    <row r="114" customFormat="false" ht="22.35" hidden="false" customHeight="false" outlineLevel="0" collapsed="false">
      <c r="A114" s="6" t="s">
        <v>624</v>
      </c>
      <c r="B114" s="7" t="s">
        <v>625</v>
      </c>
      <c r="C114" s="7" t="s">
        <v>626</v>
      </c>
      <c r="D114" s="7" t="s">
        <v>621</v>
      </c>
      <c r="E114" s="7" t="s">
        <v>40</v>
      </c>
      <c r="F114" s="7" t="s">
        <v>41</v>
      </c>
      <c r="G114" s="7" t="s">
        <v>48</v>
      </c>
      <c r="H114" s="7" t="s">
        <v>49</v>
      </c>
      <c r="I114" s="7" t="s">
        <v>622</v>
      </c>
      <c r="J114" s="7" t="s">
        <v>233</v>
      </c>
      <c r="K114" s="7" t="s">
        <v>627</v>
      </c>
    </row>
    <row r="115" customFormat="false" ht="32.8" hidden="false" customHeight="false" outlineLevel="0" collapsed="false">
      <c r="A115" s="8" t="s">
        <v>628</v>
      </c>
      <c r="B115" s="9" t="s">
        <v>629</v>
      </c>
      <c r="C115" s="9" t="s">
        <v>630</v>
      </c>
      <c r="D115" s="9" t="s">
        <v>631</v>
      </c>
      <c r="E115" s="9" t="s">
        <v>95</v>
      </c>
      <c r="F115" s="9" t="s">
        <v>95</v>
      </c>
      <c r="G115" s="9" t="s">
        <v>632</v>
      </c>
      <c r="H115" s="9" t="s">
        <v>633</v>
      </c>
      <c r="I115" s="9" t="s">
        <v>285</v>
      </c>
      <c r="J115" s="9" t="s">
        <v>233</v>
      </c>
      <c r="K115" s="9" t="s">
        <v>634</v>
      </c>
    </row>
    <row r="116" customFormat="false" ht="22.35" hidden="false" customHeight="false" outlineLevel="0" collapsed="false">
      <c r="A116" s="6" t="s">
        <v>635</v>
      </c>
      <c r="B116" s="7" t="s">
        <v>636</v>
      </c>
      <c r="C116" s="7" t="s">
        <v>637</v>
      </c>
      <c r="D116" s="7" t="s">
        <v>631</v>
      </c>
      <c r="E116" s="7" t="s">
        <v>77</v>
      </c>
      <c r="F116" s="7" t="s">
        <v>77</v>
      </c>
      <c r="G116" s="7" t="s">
        <v>63</v>
      </c>
      <c r="H116" s="7" t="s">
        <v>64</v>
      </c>
      <c r="I116" s="7" t="s">
        <v>42</v>
      </c>
      <c r="J116" s="7" t="s">
        <v>65</v>
      </c>
      <c r="K116" s="7" t="s">
        <v>638</v>
      </c>
    </row>
    <row r="117" customFormat="false" ht="22.35" hidden="false" customHeight="false" outlineLevel="0" collapsed="false">
      <c r="A117" s="8" t="s">
        <v>639</v>
      </c>
      <c r="B117" s="9" t="s">
        <v>640</v>
      </c>
      <c r="C117" s="9" t="s">
        <v>641</v>
      </c>
      <c r="D117" s="9" t="s">
        <v>642</v>
      </c>
      <c r="E117" s="9" t="s">
        <v>217</v>
      </c>
      <c r="F117" s="9" t="s">
        <v>41</v>
      </c>
      <c r="G117" s="9" t="s">
        <v>48</v>
      </c>
      <c r="H117" s="9" t="s">
        <v>49</v>
      </c>
      <c r="I117" s="9" t="s">
        <v>643</v>
      </c>
      <c r="J117" s="9" t="s">
        <v>233</v>
      </c>
      <c r="K117" s="9" t="s">
        <v>644</v>
      </c>
    </row>
    <row r="118" customFormat="false" ht="22.35" hidden="false" customHeight="false" outlineLevel="0" collapsed="false">
      <c r="A118" s="6" t="s">
        <v>645</v>
      </c>
      <c r="B118" s="7" t="s">
        <v>646</v>
      </c>
      <c r="C118" s="7" t="s">
        <v>647</v>
      </c>
      <c r="D118" s="7" t="s">
        <v>642</v>
      </c>
      <c r="E118" s="7" t="s">
        <v>415</v>
      </c>
      <c r="F118" s="7" t="s">
        <v>246</v>
      </c>
      <c r="G118" s="7" t="s">
        <v>283</v>
      </c>
      <c r="H118" s="7" t="s">
        <v>416</v>
      </c>
      <c r="I118" s="7" t="s">
        <v>643</v>
      </c>
      <c r="J118" s="7" t="s">
        <v>233</v>
      </c>
      <c r="K118" s="7" t="s">
        <v>648</v>
      </c>
    </row>
    <row r="119" customFormat="false" ht="22.35" hidden="false" customHeight="false" outlineLevel="0" collapsed="false">
      <c r="A119" s="8" t="s">
        <v>649</v>
      </c>
      <c r="B119" s="9" t="s">
        <v>650</v>
      </c>
      <c r="C119" s="9" t="s">
        <v>651</v>
      </c>
      <c r="D119" s="9" t="s">
        <v>652</v>
      </c>
      <c r="E119" s="9" t="s">
        <v>562</v>
      </c>
      <c r="F119" s="9" t="s">
        <v>246</v>
      </c>
      <c r="G119" s="9"/>
      <c r="H119" s="9"/>
      <c r="I119" s="9" t="s">
        <v>564</v>
      </c>
      <c r="J119" s="9" t="s">
        <v>99</v>
      </c>
      <c r="K119" s="9" t="s">
        <v>653</v>
      </c>
    </row>
    <row r="120" customFormat="false" ht="22.35" hidden="false" customHeight="false" outlineLevel="0" collapsed="false">
      <c r="A120" s="6" t="s">
        <v>654</v>
      </c>
      <c r="B120" s="7" t="s">
        <v>655</v>
      </c>
      <c r="C120" s="7" t="s">
        <v>656</v>
      </c>
      <c r="D120" s="7" t="s">
        <v>657</v>
      </c>
      <c r="E120" s="7" t="s">
        <v>40</v>
      </c>
      <c r="F120" s="7" t="s">
        <v>41</v>
      </c>
      <c r="G120" s="7" t="s">
        <v>55</v>
      </c>
      <c r="H120" s="7" t="s">
        <v>484</v>
      </c>
      <c r="I120" s="7" t="s">
        <v>42</v>
      </c>
      <c r="J120" s="7" t="s">
        <v>99</v>
      </c>
      <c r="K120" s="7" t="s">
        <v>658</v>
      </c>
    </row>
    <row r="121" customFormat="false" ht="22.35" hidden="false" customHeight="false" outlineLevel="0" collapsed="false">
      <c r="A121" s="8" t="s">
        <v>659</v>
      </c>
      <c r="B121" s="9" t="s">
        <v>660</v>
      </c>
      <c r="C121" s="9" t="s">
        <v>661</v>
      </c>
      <c r="D121" s="9" t="s">
        <v>662</v>
      </c>
      <c r="E121" s="9" t="s">
        <v>166</v>
      </c>
      <c r="F121" s="9" t="s">
        <v>111</v>
      </c>
      <c r="G121" s="9" t="s">
        <v>48</v>
      </c>
      <c r="H121" s="9" t="s">
        <v>49</v>
      </c>
      <c r="I121" s="9" t="s">
        <v>188</v>
      </c>
      <c r="J121" s="9" t="s">
        <v>65</v>
      </c>
      <c r="K121" s="9" t="s">
        <v>663</v>
      </c>
    </row>
    <row r="122" customFormat="false" ht="15" hidden="false" customHeight="false" outlineLevel="0" collapsed="false">
      <c r="A122" s="6" t="s">
        <v>664</v>
      </c>
      <c r="B122" s="7" t="s">
        <v>665</v>
      </c>
      <c r="C122" s="7" t="s">
        <v>666</v>
      </c>
      <c r="D122" s="7" t="s">
        <v>667</v>
      </c>
      <c r="E122" s="7" t="s">
        <v>40</v>
      </c>
      <c r="F122" s="7" t="s">
        <v>41</v>
      </c>
      <c r="G122" s="7" t="s">
        <v>48</v>
      </c>
      <c r="H122" s="7" t="s">
        <v>49</v>
      </c>
      <c r="I122" s="7" t="s">
        <v>668</v>
      </c>
      <c r="J122" s="7" t="s">
        <v>65</v>
      </c>
      <c r="K122" s="7" t="s">
        <v>669</v>
      </c>
    </row>
    <row r="123" customFormat="false" ht="15" hidden="false" customHeight="false" outlineLevel="0" collapsed="false">
      <c r="A123" s="8" t="s">
        <v>670</v>
      </c>
      <c r="B123" s="9" t="s">
        <v>671</v>
      </c>
      <c r="C123" s="9" t="s">
        <v>672</v>
      </c>
      <c r="D123" s="9" t="s">
        <v>667</v>
      </c>
      <c r="E123" s="9" t="s">
        <v>40</v>
      </c>
      <c r="F123" s="9" t="s">
        <v>41</v>
      </c>
      <c r="G123" s="9" t="s">
        <v>48</v>
      </c>
      <c r="H123" s="9" t="s">
        <v>49</v>
      </c>
      <c r="I123" s="9" t="s">
        <v>668</v>
      </c>
      <c r="J123" s="9" t="s">
        <v>65</v>
      </c>
      <c r="K123" s="9" t="s">
        <v>673</v>
      </c>
    </row>
    <row r="124" customFormat="false" ht="22.35" hidden="false" customHeight="false" outlineLevel="0" collapsed="false">
      <c r="A124" s="6" t="s">
        <v>674</v>
      </c>
      <c r="B124" s="7" t="s">
        <v>675</v>
      </c>
      <c r="C124" s="7" t="s">
        <v>676</v>
      </c>
      <c r="D124" s="7" t="s">
        <v>677</v>
      </c>
      <c r="E124" s="7" t="s">
        <v>40</v>
      </c>
      <c r="F124" s="7" t="s">
        <v>41</v>
      </c>
      <c r="G124" s="7" t="s">
        <v>96</v>
      </c>
      <c r="H124" s="7" t="s">
        <v>142</v>
      </c>
      <c r="I124" s="7" t="s">
        <v>188</v>
      </c>
      <c r="J124" s="7" t="s">
        <v>99</v>
      </c>
      <c r="K124" s="7" t="s">
        <v>678</v>
      </c>
    </row>
    <row r="125" customFormat="false" ht="22.35" hidden="false" customHeight="false" outlineLevel="0" collapsed="false">
      <c r="A125" s="8" t="s">
        <v>679</v>
      </c>
      <c r="B125" s="9" t="s">
        <v>680</v>
      </c>
      <c r="C125" s="9" t="s">
        <v>681</v>
      </c>
      <c r="D125" s="9" t="s">
        <v>682</v>
      </c>
      <c r="E125" s="9" t="s">
        <v>210</v>
      </c>
      <c r="F125" s="9" t="s">
        <v>41</v>
      </c>
      <c r="G125" s="9" t="s">
        <v>283</v>
      </c>
      <c r="H125" s="9" t="s">
        <v>416</v>
      </c>
      <c r="I125" s="9" t="s">
        <v>683</v>
      </c>
      <c r="J125" s="9" t="s">
        <v>233</v>
      </c>
      <c r="K125" s="9" t="s">
        <v>684</v>
      </c>
    </row>
    <row r="126" customFormat="false" ht="15" hidden="false" customHeight="false" outlineLevel="0" collapsed="false">
      <c r="A126" s="6" t="s">
        <v>685</v>
      </c>
      <c r="B126" s="7" t="s">
        <v>686</v>
      </c>
      <c r="C126" s="7" t="s">
        <v>687</v>
      </c>
      <c r="D126" s="7" t="s">
        <v>688</v>
      </c>
      <c r="E126" s="7" t="s">
        <v>217</v>
      </c>
      <c r="F126" s="7" t="s">
        <v>41</v>
      </c>
      <c r="G126" s="7" t="s">
        <v>55</v>
      </c>
      <c r="H126" s="7" t="s">
        <v>290</v>
      </c>
      <c r="I126" s="7" t="s">
        <v>98</v>
      </c>
      <c r="J126" s="7" t="s">
        <v>233</v>
      </c>
      <c r="K126" s="7" t="s">
        <v>689</v>
      </c>
    </row>
    <row r="127" customFormat="false" ht="22.35" hidden="false" customHeight="false" outlineLevel="0" collapsed="false">
      <c r="A127" s="8" t="s">
        <v>690</v>
      </c>
      <c r="B127" s="9" t="s">
        <v>691</v>
      </c>
      <c r="C127" s="9" t="s">
        <v>692</v>
      </c>
      <c r="D127" s="9" t="s">
        <v>693</v>
      </c>
      <c r="E127" s="9" t="s">
        <v>217</v>
      </c>
      <c r="F127" s="9" t="s">
        <v>41</v>
      </c>
      <c r="G127" s="9" t="s">
        <v>222</v>
      </c>
      <c r="H127" s="9" t="s">
        <v>223</v>
      </c>
      <c r="I127" s="9" t="s">
        <v>694</v>
      </c>
      <c r="J127" s="9" t="s">
        <v>65</v>
      </c>
      <c r="K127" s="9" t="s">
        <v>695</v>
      </c>
    </row>
    <row r="128" customFormat="false" ht="22.35" hidden="false" customHeight="false" outlineLevel="0" collapsed="false">
      <c r="A128" s="6" t="s">
        <v>696</v>
      </c>
      <c r="B128" s="7" t="s">
        <v>697</v>
      </c>
      <c r="C128" s="7" t="s">
        <v>698</v>
      </c>
      <c r="D128" s="7" t="s">
        <v>699</v>
      </c>
      <c r="E128" s="7" t="s">
        <v>210</v>
      </c>
      <c r="F128" s="7" t="s">
        <v>41</v>
      </c>
      <c r="G128" s="7" t="s">
        <v>222</v>
      </c>
      <c r="H128" s="7" t="s">
        <v>223</v>
      </c>
      <c r="I128" s="7" t="s">
        <v>42</v>
      </c>
      <c r="J128" s="7" t="s">
        <v>65</v>
      </c>
      <c r="K128" s="7" t="s">
        <v>700</v>
      </c>
    </row>
    <row r="129" customFormat="false" ht="22.35" hidden="false" customHeight="false" outlineLevel="0" collapsed="false">
      <c r="A129" s="8" t="s">
        <v>701</v>
      </c>
      <c r="B129" s="9" t="s">
        <v>702</v>
      </c>
      <c r="C129" s="9" t="s">
        <v>703</v>
      </c>
      <c r="D129" s="9" t="s">
        <v>704</v>
      </c>
      <c r="E129" s="9" t="s">
        <v>217</v>
      </c>
      <c r="F129" s="9" t="s">
        <v>41</v>
      </c>
      <c r="G129" s="9" t="s">
        <v>55</v>
      </c>
      <c r="H129" s="9" t="s">
        <v>232</v>
      </c>
      <c r="I129" s="9" t="s">
        <v>705</v>
      </c>
      <c r="J129" s="9" t="s">
        <v>233</v>
      </c>
      <c r="K129" s="9" t="s">
        <v>706</v>
      </c>
    </row>
    <row r="130" customFormat="false" ht="15" hidden="false" customHeight="false" outlineLevel="0" collapsed="false">
      <c r="A130" s="6" t="s">
        <v>707</v>
      </c>
      <c r="B130" s="7" t="s">
        <v>708</v>
      </c>
      <c r="C130" s="7" t="s">
        <v>709</v>
      </c>
      <c r="D130" s="7" t="s">
        <v>710</v>
      </c>
      <c r="E130" s="7" t="s">
        <v>40</v>
      </c>
      <c r="F130" s="7" t="s">
        <v>41</v>
      </c>
      <c r="G130" s="7" t="s">
        <v>48</v>
      </c>
      <c r="H130" s="7" t="s">
        <v>112</v>
      </c>
      <c r="I130" s="7" t="s">
        <v>42</v>
      </c>
      <c r="J130" s="7" t="s">
        <v>43</v>
      </c>
      <c r="K130" s="7" t="s">
        <v>711</v>
      </c>
    </row>
    <row r="131" customFormat="false" ht="15" hidden="false" customHeight="false" outlineLevel="0" collapsed="false">
      <c r="A131" s="8" t="s">
        <v>712</v>
      </c>
      <c r="B131" s="9" t="s">
        <v>713</v>
      </c>
      <c r="C131" s="9" t="s">
        <v>714</v>
      </c>
      <c r="D131" s="9" t="s">
        <v>710</v>
      </c>
      <c r="E131" s="9" t="s">
        <v>40</v>
      </c>
      <c r="F131" s="9" t="s">
        <v>41</v>
      </c>
      <c r="G131" s="9" t="s">
        <v>222</v>
      </c>
      <c r="H131" s="9" t="s">
        <v>223</v>
      </c>
      <c r="I131" s="9" t="s">
        <v>42</v>
      </c>
      <c r="J131" s="9" t="s">
        <v>50</v>
      </c>
      <c r="K131" s="9" t="s">
        <v>715</v>
      </c>
    </row>
    <row r="132" customFormat="false" ht="22.35" hidden="false" customHeight="false" outlineLevel="0" collapsed="false">
      <c r="A132" s="6" t="s">
        <v>716</v>
      </c>
      <c r="B132" s="7" t="s">
        <v>717</v>
      </c>
      <c r="C132" s="7" t="s">
        <v>718</v>
      </c>
      <c r="D132" s="7" t="s">
        <v>710</v>
      </c>
      <c r="E132" s="7" t="s">
        <v>40</v>
      </c>
      <c r="F132" s="7" t="s">
        <v>41</v>
      </c>
      <c r="G132" s="7" t="s">
        <v>48</v>
      </c>
      <c r="H132" s="7" t="s">
        <v>49</v>
      </c>
      <c r="I132" s="7" t="s">
        <v>42</v>
      </c>
      <c r="J132" s="7" t="s">
        <v>43</v>
      </c>
      <c r="K132" s="7" t="s">
        <v>719</v>
      </c>
    </row>
    <row r="133" customFormat="false" ht="22.35" hidden="false" customHeight="false" outlineLevel="0" collapsed="false">
      <c r="A133" s="8" t="s">
        <v>720</v>
      </c>
      <c r="B133" s="9" t="s">
        <v>721</v>
      </c>
      <c r="C133" s="9" t="s">
        <v>722</v>
      </c>
      <c r="D133" s="9" t="s">
        <v>710</v>
      </c>
      <c r="E133" s="9" t="s">
        <v>723</v>
      </c>
      <c r="F133" s="9" t="s">
        <v>246</v>
      </c>
      <c r="G133" s="9" t="s">
        <v>222</v>
      </c>
      <c r="H133" s="9" t="s">
        <v>277</v>
      </c>
      <c r="I133" s="9" t="s">
        <v>491</v>
      </c>
      <c r="J133" s="9" t="s">
        <v>43</v>
      </c>
      <c r="K133" s="9" t="s">
        <v>724</v>
      </c>
    </row>
    <row r="134" customFormat="false" ht="22.35" hidden="false" customHeight="false" outlineLevel="0" collapsed="false">
      <c r="A134" s="6" t="s">
        <v>725</v>
      </c>
      <c r="B134" s="7" t="s">
        <v>726</v>
      </c>
      <c r="C134" s="7" t="s">
        <v>727</v>
      </c>
      <c r="D134" s="7" t="s">
        <v>728</v>
      </c>
      <c r="E134" s="7" t="s">
        <v>505</v>
      </c>
      <c r="F134" s="7" t="s">
        <v>111</v>
      </c>
      <c r="G134" s="7" t="s">
        <v>222</v>
      </c>
      <c r="H134" s="7" t="s">
        <v>223</v>
      </c>
      <c r="I134" s="7" t="s">
        <v>42</v>
      </c>
      <c r="J134" s="7" t="s">
        <v>57</v>
      </c>
      <c r="K134" s="7" t="s">
        <v>729</v>
      </c>
    </row>
    <row r="135" customFormat="false" ht="15" hidden="false" customHeight="false" outlineLevel="0" collapsed="false">
      <c r="A135" s="8" t="s">
        <v>730</v>
      </c>
      <c r="B135" s="9" t="s">
        <v>731</v>
      </c>
      <c r="C135" s="9" t="s">
        <v>732</v>
      </c>
      <c r="D135" s="9" t="s">
        <v>728</v>
      </c>
      <c r="E135" s="9" t="s">
        <v>40</v>
      </c>
      <c r="F135" s="9" t="s">
        <v>41</v>
      </c>
      <c r="G135" s="9" t="s">
        <v>48</v>
      </c>
      <c r="H135" s="9" t="s">
        <v>49</v>
      </c>
      <c r="I135" s="9" t="s">
        <v>42</v>
      </c>
      <c r="J135" s="9" t="s">
        <v>50</v>
      </c>
      <c r="K135" s="9" t="s">
        <v>733</v>
      </c>
    </row>
    <row r="136" customFormat="false" ht="22.35" hidden="false" customHeight="false" outlineLevel="0" collapsed="false">
      <c r="A136" s="6" t="s">
        <v>734</v>
      </c>
      <c r="B136" s="7" t="s">
        <v>735</v>
      </c>
      <c r="C136" s="7" t="s">
        <v>736</v>
      </c>
      <c r="D136" s="7" t="s">
        <v>728</v>
      </c>
      <c r="E136" s="7" t="s">
        <v>40</v>
      </c>
      <c r="F136" s="7" t="s">
        <v>41</v>
      </c>
      <c r="G136" s="7" t="s">
        <v>48</v>
      </c>
      <c r="H136" s="7" t="s">
        <v>49</v>
      </c>
      <c r="I136" s="7" t="s">
        <v>42</v>
      </c>
      <c r="J136" s="7" t="s">
        <v>50</v>
      </c>
      <c r="K136" s="7" t="s">
        <v>737</v>
      </c>
    </row>
    <row r="137" customFormat="false" ht="15" hidden="false" customHeight="false" outlineLevel="0" collapsed="false">
      <c r="A137" s="8" t="s">
        <v>738</v>
      </c>
      <c r="B137" s="9" t="s">
        <v>739</v>
      </c>
      <c r="C137" s="9" t="s">
        <v>740</v>
      </c>
      <c r="D137" s="9" t="s">
        <v>728</v>
      </c>
      <c r="E137" s="9" t="s">
        <v>40</v>
      </c>
      <c r="F137" s="9" t="s">
        <v>41</v>
      </c>
      <c r="G137" s="9" t="s">
        <v>48</v>
      </c>
      <c r="H137" s="9" t="s">
        <v>49</v>
      </c>
      <c r="I137" s="9" t="s">
        <v>42</v>
      </c>
      <c r="J137" s="9" t="s">
        <v>50</v>
      </c>
      <c r="K137" s="9" t="s">
        <v>741</v>
      </c>
    </row>
    <row r="138" customFormat="false" ht="15" hidden="false" customHeight="false" outlineLevel="0" collapsed="false">
      <c r="A138" s="6" t="s">
        <v>742</v>
      </c>
      <c r="B138" s="7" t="s">
        <v>743</v>
      </c>
      <c r="C138" s="7" t="s">
        <v>744</v>
      </c>
      <c r="D138" s="7" t="s">
        <v>728</v>
      </c>
      <c r="E138" s="7" t="s">
        <v>40</v>
      </c>
      <c r="F138" s="7" t="s">
        <v>41</v>
      </c>
      <c r="G138" s="7" t="s">
        <v>55</v>
      </c>
      <c r="H138" s="7" t="s">
        <v>484</v>
      </c>
      <c r="I138" s="7" t="s">
        <v>42</v>
      </c>
      <c r="J138" s="7" t="s">
        <v>99</v>
      </c>
      <c r="K138" s="7" t="s">
        <v>745</v>
      </c>
    </row>
    <row r="139" customFormat="false" ht="15" hidden="false" customHeight="false" outlineLevel="0" collapsed="false">
      <c r="A139" s="8" t="s">
        <v>746</v>
      </c>
      <c r="B139" s="9" t="s">
        <v>747</v>
      </c>
      <c r="C139" s="9" t="s">
        <v>748</v>
      </c>
      <c r="D139" s="9" t="s">
        <v>728</v>
      </c>
      <c r="E139" s="9" t="s">
        <v>40</v>
      </c>
      <c r="F139" s="9" t="s">
        <v>41</v>
      </c>
      <c r="G139" s="9" t="s">
        <v>55</v>
      </c>
      <c r="H139" s="9" t="s">
        <v>56</v>
      </c>
      <c r="I139" s="9" t="s">
        <v>42</v>
      </c>
      <c r="J139" s="9" t="s">
        <v>50</v>
      </c>
      <c r="K139" s="9" t="s">
        <v>749</v>
      </c>
    </row>
    <row r="140" customFormat="false" ht="15" hidden="false" customHeight="false" outlineLevel="0" collapsed="false">
      <c r="A140" s="6" t="s">
        <v>750</v>
      </c>
      <c r="B140" s="7" t="s">
        <v>751</v>
      </c>
      <c r="C140" s="7" t="s">
        <v>752</v>
      </c>
      <c r="D140" s="7" t="s">
        <v>728</v>
      </c>
      <c r="E140" s="7" t="s">
        <v>40</v>
      </c>
      <c r="F140" s="7" t="s">
        <v>41</v>
      </c>
      <c r="G140" s="7" t="s">
        <v>48</v>
      </c>
      <c r="H140" s="7" t="s">
        <v>49</v>
      </c>
      <c r="I140" s="7" t="s">
        <v>42</v>
      </c>
      <c r="J140" s="7" t="s">
        <v>57</v>
      </c>
      <c r="K140" s="7" t="s">
        <v>753</v>
      </c>
    </row>
    <row r="141" customFormat="false" ht="15" hidden="false" customHeight="false" outlineLevel="0" collapsed="false">
      <c r="A141" s="8" t="s">
        <v>754</v>
      </c>
      <c r="B141" s="9" t="s">
        <v>755</v>
      </c>
      <c r="C141" s="9" t="s">
        <v>756</v>
      </c>
      <c r="D141" s="9" t="s">
        <v>757</v>
      </c>
      <c r="E141" s="9" t="s">
        <v>40</v>
      </c>
      <c r="F141" s="9" t="s">
        <v>41</v>
      </c>
      <c r="G141" s="9" t="s">
        <v>55</v>
      </c>
      <c r="H141" s="9" t="s">
        <v>758</v>
      </c>
      <c r="I141" s="9" t="s">
        <v>42</v>
      </c>
      <c r="J141" s="9" t="s">
        <v>99</v>
      </c>
      <c r="K141" s="9" t="s">
        <v>759</v>
      </c>
    </row>
    <row r="142" customFormat="false" ht="22.35" hidden="false" customHeight="false" outlineLevel="0" collapsed="false">
      <c r="A142" s="6" t="s">
        <v>760</v>
      </c>
      <c r="B142" s="7" t="s">
        <v>761</v>
      </c>
      <c r="C142" s="7" t="s">
        <v>762</v>
      </c>
      <c r="D142" s="7" t="s">
        <v>763</v>
      </c>
      <c r="E142" s="7" t="s">
        <v>40</v>
      </c>
      <c r="F142" s="7" t="s">
        <v>41</v>
      </c>
      <c r="G142" s="7" t="s">
        <v>55</v>
      </c>
      <c r="H142" s="7" t="s">
        <v>265</v>
      </c>
      <c r="I142" s="7" t="s">
        <v>42</v>
      </c>
      <c r="J142" s="7" t="s">
        <v>117</v>
      </c>
      <c r="K142" s="7" t="s">
        <v>764</v>
      </c>
    </row>
    <row r="143" customFormat="false" ht="22.35" hidden="false" customHeight="false" outlineLevel="0" collapsed="false">
      <c r="A143" s="8" t="s">
        <v>765</v>
      </c>
      <c r="B143" s="9" t="s">
        <v>766</v>
      </c>
      <c r="C143" s="9" t="s">
        <v>767</v>
      </c>
      <c r="D143" s="9" t="s">
        <v>768</v>
      </c>
      <c r="E143" s="9" t="s">
        <v>415</v>
      </c>
      <c r="F143" s="9" t="s">
        <v>246</v>
      </c>
      <c r="G143" s="9" t="s">
        <v>283</v>
      </c>
      <c r="H143" s="9" t="s">
        <v>284</v>
      </c>
      <c r="I143" s="9" t="s">
        <v>285</v>
      </c>
      <c r="J143" s="9" t="s">
        <v>233</v>
      </c>
      <c r="K143" s="9" t="s">
        <v>769</v>
      </c>
    </row>
    <row r="144" customFormat="false" ht="15" hidden="false" customHeight="false" outlineLevel="0" collapsed="false">
      <c r="A144" s="6" t="s">
        <v>770</v>
      </c>
      <c r="B144" s="7" t="s">
        <v>771</v>
      </c>
      <c r="C144" s="7" t="s">
        <v>772</v>
      </c>
      <c r="D144" s="7" t="s">
        <v>773</v>
      </c>
      <c r="E144" s="7" t="s">
        <v>347</v>
      </c>
      <c r="F144" s="7" t="s">
        <v>111</v>
      </c>
      <c r="G144" s="7" t="s">
        <v>265</v>
      </c>
      <c r="H144" s="7"/>
      <c r="I144" s="7" t="s">
        <v>774</v>
      </c>
      <c r="J144" s="7" t="s">
        <v>99</v>
      </c>
      <c r="K144" s="7" t="s">
        <v>775</v>
      </c>
    </row>
    <row r="145" customFormat="false" ht="22.35" hidden="false" customHeight="false" outlineLevel="0" collapsed="false">
      <c r="A145" s="8" t="s">
        <v>776</v>
      </c>
      <c r="B145" s="9" t="s">
        <v>777</v>
      </c>
      <c r="C145" s="9" t="s">
        <v>778</v>
      </c>
      <c r="D145" s="9" t="s">
        <v>779</v>
      </c>
      <c r="E145" s="9" t="s">
        <v>77</v>
      </c>
      <c r="F145" s="9" t="s">
        <v>77</v>
      </c>
      <c r="G145" s="9" t="s">
        <v>48</v>
      </c>
      <c r="H145" s="9" t="s">
        <v>49</v>
      </c>
      <c r="I145" s="9" t="s">
        <v>42</v>
      </c>
      <c r="J145" s="9" t="s">
        <v>50</v>
      </c>
      <c r="K145" s="9" t="s">
        <v>780</v>
      </c>
    </row>
    <row r="146" customFormat="false" ht="15" hidden="false" customHeight="false" outlineLevel="0" collapsed="false">
      <c r="A146" s="6" t="s">
        <v>781</v>
      </c>
      <c r="B146" s="7" t="s">
        <v>782</v>
      </c>
      <c r="C146" s="7" t="s">
        <v>783</v>
      </c>
      <c r="D146" s="7" t="s">
        <v>779</v>
      </c>
      <c r="E146" s="7" t="s">
        <v>40</v>
      </c>
      <c r="F146" s="7" t="s">
        <v>41</v>
      </c>
      <c r="G146" s="7" t="s">
        <v>55</v>
      </c>
      <c r="H146" s="7" t="s">
        <v>199</v>
      </c>
      <c r="I146" s="7" t="s">
        <v>42</v>
      </c>
      <c r="J146" s="7" t="s">
        <v>43</v>
      </c>
      <c r="K146" s="7" t="s">
        <v>784</v>
      </c>
    </row>
    <row r="147" customFormat="false" ht="43.25" hidden="false" customHeight="false" outlineLevel="0" collapsed="false">
      <c r="A147" s="8" t="s">
        <v>785</v>
      </c>
      <c r="B147" s="9" t="s">
        <v>786</v>
      </c>
      <c r="C147" s="9" t="s">
        <v>787</v>
      </c>
      <c r="D147" s="9" t="s">
        <v>788</v>
      </c>
      <c r="E147" s="9" t="s">
        <v>95</v>
      </c>
      <c r="F147" s="9" t="s">
        <v>95</v>
      </c>
      <c r="G147" s="9" t="s">
        <v>48</v>
      </c>
      <c r="H147" s="9" t="s">
        <v>49</v>
      </c>
      <c r="I147" s="9" t="s">
        <v>98</v>
      </c>
      <c r="J147" s="9" t="s">
        <v>50</v>
      </c>
      <c r="K147" s="9" t="s">
        <v>789</v>
      </c>
    </row>
    <row r="148" customFormat="false" ht="15" hidden="false" customHeight="false" outlineLevel="0" collapsed="false">
      <c r="A148" s="6" t="s">
        <v>790</v>
      </c>
      <c r="B148" s="7" t="s">
        <v>791</v>
      </c>
      <c r="C148" s="7" t="s">
        <v>792</v>
      </c>
      <c r="D148" s="7" t="s">
        <v>788</v>
      </c>
      <c r="E148" s="7" t="s">
        <v>40</v>
      </c>
      <c r="F148" s="7" t="s">
        <v>41</v>
      </c>
      <c r="G148" s="7" t="s">
        <v>55</v>
      </c>
      <c r="H148" s="7" t="s">
        <v>199</v>
      </c>
      <c r="I148" s="7" t="s">
        <v>42</v>
      </c>
      <c r="J148" s="7" t="s">
        <v>65</v>
      </c>
      <c r="K148" s="7" t="s">
        <v>793</v>
      </c>
    </row>
    <row r="149" customFormat="false" ht="22.35" hidden="false" customHeight="false" outlineLevel="0" collapsed="false">
      <c r="A149" s="8" t="s">
        <v>794</v>
      </c>
      <c r="B149" s="9" t="s">
        <v>795</v>
      </c>
      <c r="C149" s="9" t="s">
        <v>269</v>
      </c>
      <c r="D149" s="9" t="s">
        <v>796</v>
      </c>
      <c r="E149" s="9" t="s">
        <v>505</v>
      </c>
      <c r="F149" s="9" t="s">
        <v>111</v>
      </c>
      <c r="G149" s="9" t="s">
        <v>97</v>
      </c>
      <c r="H149" s="9"/>
      <c r="I149" s="9" t="s">
        <v>325</v>
      </c>
      <c r="J149" s="9" t="s">
        <v>65</v>
      </c>
      <c r="K149" s="9" t="s">
        <v>797</v>
      </c>
    </row>
    <row r="150" customFormat="false" ht="43.25" hidden="false" customHeight="false" outlineLevel="0" collapsed="false">
      <c r="A150" s="6" t="s">
        <v>798</v>
      </c>
      <c r="B150" s="7" t="s">
        <v>799</v>
      </c>
      <c r="C150" s="7" t="s">
        <v>800</v>
      </c>
      <c r="D150" s="7" t="s">
        <v>801</v>
      </c>
      <c r="E150" s="7" t="s">
        <v>95</v>
      </c>
      <c r="F150" s="7" t="s">
        <v>95</v>
      </c>
      <c r="G150" s="7" t="s">
        <v>48</v>
      </c>
      <c r="H150" s="7" t="s">
        <v>49</v>
      </c>
      <c r="I150" s="7" t="s">
        <v>98</v>
      </c>
      <c r="J150" s="7" t="s">
        <v>65</v>
      </c>
      <c r="K150" s="7" t="s">
        <v>802</v>
      </c>
    </row>
    <row r="151" customFormat="false" ht="15" hidden="false" customHeight="false" outlineLevel="0" collapsed="false">
      <c r="A151" s="8" t="s">
        <v>803</v>
      </c>
      <c r="B151" s="9" t="s">
        <v>804</v>
      </c>
      <c r="C151" s="9" t="s">
        <v>805</v>
      </c>
      <c r="D151" s="9" t="s">
        <v>806</v>
      </c>
      <c r="E151" s="9" t="s">
        <v>77</v>
      </c>
      <c r="F151" s="9" t="s">
        <v>77</v>
      </c>
      <c r="G151" s="9" t="s">
        <v>48</v>
      </c>
      <c r="H151" s="9" t="s">
        <v>176</v>
      </c>
      <c r="I151" s="9" t="s">
        <v>42</v>
      </c>
      <c r="J151" s="9" t="s">
        <v>65</v>
      </c>
      <c r="K151" s="9" t="s">
        <v>807</v>
      </c>
    </row>
    <row r="152" customFormat="false" ht="22.35" hidden="false" customHeight="false" outlineLevel="0" collapsed="false">
      <c r="A152" s="6" t="s">
        <v>808</v>
      </c>
      <c r="B152" s="7" t="s">
        <v>809</v>
      </c>
      <c r="C152" s="7" t="s">
        <v>810</v>
      </c>
      <c r="D152" s="7" t="s">
        <v>806</v>
      </c>
      <c r="E152" s="7" t="s">
        <v>40</v>
      </c>
      <c r="F152" s="7" t="s">
        <v>41</v>
      </c>
      <c r="G152" s="7"/>
      <c r="H152" s="7"/>
      <c r="I152" s="7" t="s">
        <v>42</v>
      </c>
      <c r="J152" s="7" t="s">
        <v>233</v>
      </c>
      <c r="K152" s="7" t="s">
        <v>811</v>
      </c>
    </row>
    <row r="153" customFormat="false" ht="22.35" hidden="false" customHeight="false" outlineLevel="0" collapsed="false">
      <c r="A153" s="8" t="s">
        <v>812</v>
      </c>
      <c r="B153" s="9" t="s">
        <v>813</v>
      </c>
      <c r="C153" s="9" t="s">
        <v>814</v>
      </c>
      <c r="D153" s="9" t="s">
        <v>815</v>
      </c>
      <c r="E153" s="9" t="s">
        <v>77</v>
      </c>
      <c r="F153" s="9" t="s">
        <v>77</v>
      </c>
      <c r="G153" s="9" t="s">
        <v>48</v>
      </c>
      <c r="H153" s="9" t="s">
        <v>49</v>
      </c>
      <c r="I153" s="9" t="s">
        <v>310</v>
      </c>
      <c r="J153" s="9" t="s">
        <v>65</v>
      </c>
      <c r="K153" s="9" t="s">
        <v>816</v>
      </c>
    </row>
    <row r="154" customFormat="false" ht="22.35" hidden="false" customHeight="false" outlineLevel="0" collapsed="false">
      <c r="A154" s="6" t="s">
        <v>817</v>
      </c>
      <c r="B154" s="7" t="s">
        <v>818</v>
      </c>
      <c r="C154" s="7" t="s">
        <v>819</v>
      </c>
      <c r="D154" s="7" t="s">
        <v>820</v>
      </c>
      <c r="E154" s="7" t="s">
        <v>95</v>
      </c>
      <c r="F154" s="7" t="s">
        <v>95</v>
      </c>
      <c r="G154" s="7" t="s">
        <v>71</v>
      </c>
      <c r="H154" s="7" t="s">
        <v>72</v>
      </c>
      <c r="I154" s="7" t="s">
        <v>98</v>
      </c>
      <c r="J154" s="7" t="s">
        <v>233</v>
      </c>
      <c r="K154" s="7" t="s">
        <v>821</v>
      </c>
    </row>
    <row r="155" customFormat="false" ht="22.35" hidden="false" customHeight="false" outlineLevel="0" collapsed="false">
      <c r="A155" s="8" t="s">
        <v>822</v>
      </c>
      <c r="B155" s="9" t="s">
        <v>823</v>
      </c>
      <c r="C155" s="9" t="s">
        <v>824</v>
      </c>
      <c r="D155" s="9" t="s">
        <v>820</v>
      </c>
      <c r="E155" s="9" t="s">
        <v>95</v>
      </c>
      <c r="F155" s="9" t="s">
        <v>95</v>
      </c>
      <c r="G155" s="9" t="s">
        <v>48</v>
      </c>
      <c r="H155" s="9" t="s">
        <v>49</v>
      </c>
      <c r="I155" s="9" t="s">
        <v>98</v>
      </c>
      <c r="J155" s="9" t="s">
        <v>65</v>
      </c>
      <c r="K155" s="9" t="s">
        <v>825</v>
      </c>
    </row>
    <row r="156" customFormat="false" ht="22.35" hidden="false" customHeight="false" outlineLevel="0" collapsed="false">
      <c r="A156" s="6" t="s">
        <v>826</v>
      </c>
      <c r="B156" s="7" t="s">
        <v>827</v>
      </c>
      <c r="C156" s="7" t="s">
        <v>828</v>
      </c>
      <c r="D156" s="7" t="s">
        <v>829</v>
      </c>
      <c r="E156" s="7" t="s">
        <v>830</v>
      </c>
      <c r="F156" s="7" t="s">
        <v>246</v>
      </c>
      <c r="G156" s="7" t="s">
        <v>239</v>
      </c>
      <c r="H156" s="7" t="s">
        <v>240</v>
      </c>
      <c r="I156" s="7" t="s">
        <v>285</v>
      </c>
      <c r="J156" s="7" t="s">
        <v>233</v>
      </c>
      <c r="K156" s="7" t="s">
        <v>831</v>
      </c>
    </row>
    <row r="157" customFormat="false" ht="15" hidden="false" customHeight="false" outlineLevel="0" collapsed="false">
      <c r="A157" s="8" t="s">
        <v>832</v>
      </c>
      <c r="B157" s="9" t="s">
        <v>833</v>
      </c>
      <c r="C157" s="9" t="s">
        <v>834</v>
      </c>
      <c r="D157" s="9" t="s">
        <v>835</v>
      </c>
      <c r="E157" s="9" t="s">
        <v>40</v>
      </c>
      <c r="F157" s="9" t="s">
        <v>41</v>
      </c>
      <c r="G157" s="9" t="s">
        <v>48</v>
      </c>
      <c r="H157" s="9" t="s">
        <v>112</v>
      </c>
      <c r="I157" s="9" t="s">
        <v>42</v>
      </c>
      <c r="J157" s="9" t="s">
        <v>65</v>
      </c>
      <c r="K157" s="9" t="s">
        <v>836</v>
      </c>
    </row>
    <row r="158" customFormat="false" ht="15" hidden="false" customHeight="false" outlineLevel="0" collapsed="false">
      <c r="A158" s="6" t="s">
        <v>837</v>
      </c>
      <c r="B158" s="7" t="s">
        <v>838</v>
      </c>
      <c r="C158" s="7" t="s">
        <v>839</v>
      </c>
      <c r="D158" s="7" t="s">
        <v>840</v>
      </c>
      <c r="E158" s="7" t="s">
        <v>217</v>
      </c>
      <c r="F158" s="7" t="s">
        <v>41</v>
      </c>
      <c r="G158" s="7" t="s">
        <v>55</v>
      </c>
      <c r="H158" s="7" t="s">
        <v>232</v>
      </c>
      <c r="I158" s="7" t="s">
        <v>643</v>
      </c>
      <c r="J158" s="7" t="s">
        <v>233</v>
      </c>
      <c r="K158" s="7" t="s">
        <v>841</v>
      </c>
    </row>
    <row r="159" customFormat="false" ht="32.8" hidden="false" customHeight="false" outlineLevel="0" collapsed="false">
      <c r="A159" s="8" t="s">
        <v>842</v>
      </c>
      <c r="B159" s="9" t="s">
        <v>843</v>
      </c>
      <c r="C159" s="9" t="s">
        <v>844</v>
      </c>
      <c r="D159" s="9" t="s">
        <v>845</v>
      </c>
      <c r="E159" s="9" t="s">
        <v>217</v>
      </c>
      <c r="F159" s="9" t="s">
        <v>41</v>
      </c>
      <c r="G159" s="9" t="s">
        <v>48</v>
      </c>
      <c r="H159" s="9" t="s">
        <v>49</v>
      </c>
      <c r="I159" s="9" t="s">
        <v>285</v>
      </c>
      <c r="J159" s="9" t="s">
        <v>233</v>
      </c>
      <c r="K159" s="9" t="s">
        <v>846</v>
      </c>
    </row>
    <row r="160" customFormat="false" ht="15" hidden="false" customHeight="false" outlineLevel="0" collapsed="false">
      <c r="A160" s="6" t="s">
        <v>847</v>
      </c>
      <c r="B160" s="7" t="s">
        <v>848</v>
      </c>
      <c r="C160" s="7" t="s">
        <v>47</v>
      </c>
      <c r="D160" s="7" t="s">
        <v>849</v>
      </c>
      <c r="E160" s="7" t="s">
        <v>850</v>
      </c>
      <c r="F160" s="7" t="s">
        <v>246</v>
      </c>
      <c r="G160" s="7" t="s">
        <v>63</v>
      </c>
      <c r="H160" s="7" t="s">
        <v>64</v>
      </c>
      <c r="I160" s="7" t="s">
        <v>491</v>
      </c>
      <c r="J160" s="7" t="s">
        <v>117</v>
      </c>
      <c r="K160" s="7" t="s">
        <v>851</v>
      </c>
    </row>
    <row r="161" customFormat="false" ht="22.35" hidden="false" customHeight="false" outlineLevel="0" collapsed="false">
      <c r="A161" s="8" t="s">
        <v>852</v>
      </c>
      <c r="B161" s="9" t="s">
        <v>853</v>
      </c>
      <c r="C161" s="9" t="s">
        <v>854</v>
      </c>
      <c r="D161" s="9" t="s">
        <v>855</v>
      </c>
      <c r="E161" s="9" t="s">
        <v>40</v>
      </c>
      <c r="F161" s="9" t="s">
        <v>41</v>
      </c>
      <c r="G161" s="9" t="s">
        <v>96</v>
      </c>
      <c r="H161" s="9" t="s">
        <v>97</v>
      </c>
      <c r="I161" s="9" t="s">
        <v>42</v>
      </c>
      <c r="J161" s="9" t="s">
        <v>99</v>
      </c>
      <c r="K161" s="9" t="s">
        <v>856</v>
      </c>
    </row>
    <row r="162" customFormat="false" ht="22.35" hidden="false" customHeight="false" outlineLevel="0" collapsed="false">
      <c r="A162" s="6" t="s">
        <v>857</v>
      </c>
      <c r="B162" s="7" t="s">
        <v>858</v>
      </c>
      <c r="C162" s="7" t="s">
        <v>859</v>
      </c>
      <c r="D162" s="7" t="s">
        <v>855</v>
      </c>
      <c r="E162" s="7" t="s">
        <v>40</v>
      </c>
      <c r="F162" s="7" t="s">
        <v>41</v>
      </c>
      <c r="G162" s="7" t="s">
        <v>63</v>
      </c>
      <c r="H162" s="7" t="s">
        <v>64</v>
      </c>
      <c r="I162" s="7" t="s">
        <v>491</v>
      </c>
      <c r="J162" s="7" t="s">
        <v>99</v>
      </c>
      <c r="K162" s="7" t="s">
        <v>860</v>
      </c>
    </row>
    <row r="163" customFormat="false" ht="22.35" hidden="false" customHeight="false" outlineLevel="0" collapsed="false">
      <c r="A163" s="8" t="s">
        <v>861</v>
      </c>
      <c r="B163" s="9" t="s">
        <v>862</v>
      </c>
      <c r="C163" s="9" t="s">
        <v>863</v>
      </c>
      <c r="D163" s="9" t="s">
        <v>864</v>
      </c>
      <c r="E163" s="9" t="s">
        <v>40</v>
      </c>
      <c r="F163" s="9" t="s">
        <v>41</v>
      </c>
      <c r="G163" s="9" t="s">
        <v>48</v>
      </c>
      <c r="H163" s="9" t="s">
        <v>176</v>
      </c>
      <c r="I163" s="9" t="s">
        <v>188</v>
      </c>
      <c r="J163" s="9" t="s">
        <v>99</v>
      </c>
      <c r="K163" s="9" t="s">
        <v>865</v>
      </c>
    </row>
    <row r="164" customFormat="false" ht="15" hidden="false" customHeight="false" outlineLevel="0" collapsed="false">
      <c r="A164" s="6" t="s">
        <v>866</v>
      </c>
      <c r="B164" s="7" t="s">
        <v>867</v>
      </c>
      <c r="C164" s="7" t="s">
        <v>868</v>
      </c>
      <c r="D164" s="7" t="s">
        <v>869</v>
      </c>
      <c r="E164" s="7" t="s">
        <v>40</v>
      </c>
      <c r="F164" s="7" t="s">
        <v>41</v>
      </c>
      <c r="G164" s="7" t="s">
        <v>48</v>
      </c>
      <c r="H164" s="7" t="s">
        <v>49</v>
      </c>
      <c r="I164" s="7" t="s">
        <v>42</v>
      </c>
      <c r="J164" s="7" t="s">
        <v>65</v>
      </c>
      <c r="K164" s="7" t="s">
        <v>870</v>
      </c>
    </row>
    <row r="165" customFormat="false" ht="43.25" hidden="false" customHeight="false" outlineLevel="0" collapsed="false">
      <c r="A165" s="8" t="s">
        <v>871</v>
      </c>
      <c r="B165" s="9" t="s">
        <v>872</v>
      </c>
      <c r="C165" s="9" t="s">
        <v>873</v>
      </c>
      <c r="D165" s="9" t="s">
        <v>869</v>
      </c>
      <c r="E165" s="9" t="s">
        <v>95</v>
      </c>
      <c r="F165" s="9" t="s">
        <v>95</v>
      </c>
      <c r="G165" s="9" t="s">
        <v>48</v>
      </c>
      <c r="H165" s="9" t="s">
        <v>112</v>
      </c>
      <c r="I165" s="9" t="s">
        <v>285</v>
      </c>
      <c r="J165" s="9" t="s">
        <v>99</v>
      </c>
      <c r="K165" s="9" t="s">
        <v>874</v>
      </c>
    </row>
    <row r="166" customFormat="false" ht="22.35" hidden="false" customHeight="false" outlineLevel="0" collapsed="false">
      <c r="A166" s="6" t="s">
        <v>875</v>
      </c>
      <c r="B166" s="7" t="s">
        <v>876</v>
      </c>
      <c r="C166" s="7" t="s">
        <v>877</v>
      </c>
      <c r="D166" s="7" t="s">
        <v>869</v>
      </c>
      <c r="E166" s="7" t="s">
        <v>40</v>
      </c>
      <c r="F166" s="7" t="s">
        <v>41</v>
      </c>
      <c r="G166" s="7"/>
      <c r="H166" s="7"/>
      <c r="I166" s="7" t="s">
        <v>42</v>
      </c>
      <c r="J166" s="7" t="s">
        <v>65</v>
      </c>
      <c r="K166" s="7" t="s">
        <v>878</v>
      </c>
    </row>
    <row r="167" customFormat="false" ht="22.35" hidden="false" customHeight="false" outlineLevel="0" collapsed="false">
      <c r="A167" s="8" t="s">
        <v>879</v>
      </c>
      <c r="B167" s="9" t="s">
        <v>880</v>
      </c>
      <c r="C167" s="9" t="s">
        <v>881</v>
      </c>
      <c r="D167" s="9" t="s">
        <v>882</v>
      </c>
      <c r="E167" s="9" t="s">
        <v>245</v>
      </c>
      <c r="F167" s="9" t="s">
        <v>246</v>
      </c>
      <c r="G167" s="9" t="s">
        <v>48</v>
      </c>
      <c r="H167" s="9" t="s">
        <v>49</v>
      </c>
      <c r="I167" s="9" t="s">
        <v>883</v>
      </c>
      <c r="J167" s="9" t="s">
        <v>99</v>
      </c>
      <c r="K167" s="9" t="s">
        <v>884</v>
      </c>
    </row>
    <row r="168" customFormat="false" ht="22.35" hidden="false" customHeight="false" outlineLevel="0" collapsed="false">
      <c r="A168" s="6" t="s">
        <v>885</v>
      </c>
      <c r="B168" s="7" t="s">
        <v>886</v>
      </c>
      <c r="C168" s="7" t="s">
        <v>887</v>
      </c>
      <c r="D168" s="7" t="s">
        <v>888</v>
      </c>
      <c r="E168" s="7" t="s">
        <v>95</v>
      </c>
      <c r="F168" s="7" t="s">
        <v>95</v>
      </c>
      <c r="G168" s="7" t="s">
        <v>48</v>
      </c>
      <c r="H168" s="7" t="s">
        <v>112</v>
      </c>
      <c r="I168" s="7" t="s">
        <v>247</v>
      </c>
      <c r="J168" s="7" t="s">
        <v>233</v>
      </c>
      <c r="K168" s="7" t="s">
        <v>889</v>
      </c>
    </row>
    <row r="169" customFormat="false" ht="43.25" hidden="false" customHeight="false" outlineLevel="0" collapsed="false">
      <c r="A169" s="8" t="s">
        <v>890</v>
      </c>
      <c r="B169" s="9" t="s">
        <v>891</v>
      </c>
      <c r="C169" s="9" t="s">
        <v>892</v>
      </c>
      <c r="D169" s="9" t="s">
        <v>888</v>
      </c>
      <c r="E169" s="9" t="s">
        <v>217</v>
      </c>
      <c r="F169" s="9" t="s">
        <v>41</v>
      </c>
      <c r="G169" s="9" t="s">
        <v>96</v>
      </c>
      <c r="H169" s="9" t="s">
        <v>97</v>
      </c>
      <c r="I169" s="9" t="s">
        <v>285</v>
      </c>
      <c r="J169" s="9" t="s">
        <v>65</v>
      </c>
      <c r="K169" s="9" t="s">
        <v>893</v>
      </c>
    </row>
    <row r="170" customFormat="false" ht="15" hidden="false" customHeight="false" outlineLevel="0" collapsed="false">
      <c r="A170" s="6" t="s">
        <v>894</v>
      </c>
      <c r="B170" s="7" t="s">
        <v>895</v>
      </c>
      <c r="C170" s="7" t="s">
        <v>896</v>
      </c>
      <c r="D170" s="7" t="s">
        <v>888</v>
      </c>
      <c r="E170" s="7" t="s">
        <v>95</v>
      </c>
      <c r="F170" s="7" t="s">
        <v>95</v>
      </c>
      <c r="G170" s="7" t="s">
        <v>55</v>
      </c>
      <c r="H170" s="7" t="s">
        <v>232</v>
      </c>
      <c r="I170" s="7" t="s">
        <v>247</v>
      </c>
      <c r="J170" s="7" t="s">
        <v>99</v>
      </c>
      <c r="K170" s="7" t="s">
        <v>897</v>
      </c>
    </row>
    <row r="171" customFormat="false" ht="22.35" hidden="false" customHeight="false" outlineLevel="0" collapsed="false">
      <c r="A171" s="8" t="s">
        <v>898</v>
      </c>
      <c r="B171" s="9" t="s">
        <v>899</v>
      </c>
      <c r="C171" s="9" t="s">
        <v>900</v>
      </c>
      <c r="D171" s="9" t="s">
        <v>888</v>
      </c>
      <c r="E171" s="9" t="s">
        <v>217</v>
      </c>
      <c r="F171" s="9" t="s">
        <v>41</v>
      </c>
      <c r="G171" s="9" t="s">
        <v>96</v>
      </c>
      <c r="H171" s="9" t="s">
        <v>901</v>
      </c>
      <c r="I171" s="9" t="s">
        <v>491</v>
      </c>
      <c r="J171" s="9" t="s">
        <v>65</v>
      </c>
      <c r="K171" s="9" t="s">
        <v>902</v>
      </c>
    </row>
    <row r="172" customFormat="false" ht="22.35" hidden="false" customHeight="false" outlineLevel="0" collapsed="false">
      <c r="A172" s="6" t="s">
        <v>903</v>
      </c>
      <c r="B172" s="7" t="s">
        <v>904</v>
      </c>
      <c r="C172" s="7" t="s">
        <v>905</v>
      </c>
      <c r="D172" s="7" t="s">
        <v>906</v>
      </c>
      <c r="E172" s="7" t="s">
        <v>40</v>
      </c>
      <c r="F172" s="7" t="s">
        <v>41</v>
      </c>
      <c r="G172" s="7" t="s">
        <v>63</v>
      </c>
      <c r="H172" s="7" t="s">
        <v>64</v>
      </c>
      <c r="I172" s="7" t="s">
        <v>42</v>
      </c>
      <c r="J172" s="7" t="s">
        <v>65</v>
      </c>
      <c r="K172" s="7" t="s">
        <v>907</v>
      </c>
    </row>
    <row r="173" customFormat="false" ht="15" hidden="false" customHeight="false" outlineLevel="0" collapsed="false">
      <c r="A173" s="8" t="s">
        <v>908</v>
      </c>
      <c r="B173" s="9" t="s">
        <v>909</v>
      </c>
      <c r="C173" s="9" t="s">
        <v>910</v>
      </c>
      <c r="D173" s="9" t="s">
        <v>911</v>
      </c>
      <c r="E173" s="9" t="s">
        <v>40</v>
      </c>
      <c r="F173" s="9" t="s">
        <v>41</v>
      </c>
      <c r="G173" s="9" t="s">
        <v>48</v>
      </c>
      <c r="H173" s="9" t="s">
        <v>176</v>
      </c>
      <c r="I173" s="9" t="s">
        <v>42</v>
      </c>
      <c r="J173" s="9" t="s">
        <v>65</v>
      </c>
      <c r="K173" s="9" t="s">
        <v>912</v>
      </c>
    </row>
    <row r="174" customFormat="false" ht="22.35" hidden="false" customHeight="false" outlineLevel="0" collapsed="false">
      <c r="A174" s="6" t="s">
        <v>913</v>
      </c>
      <c r="B174" s="7" t="s">
        <v>914</v>
      </c>
      <c r="C174" s="7" t="s">
        <v>85</v>
      </c>
      <c r="D174" s="7" t="s">
        <v>915</v>
      </c>
      <c r="E174" s="7" t="s">
        <v>40</v>
      </c>
      <c r="F174" s="7" t="s">
        <v>41</v>
      </c>
      <c r="G174" s="7" t="s">
        <v>48</v>
      </c>
      <c r="H174" s="7" t="s">
        <v>49</v>
      </c>
      <c r="I174" s="7" t="s">
        <v>42</v>
      </c>
      <c r="J174" s="7" t="s">
        <v>50</v>
      </c>
      <c r="K174" s="7" t="s">
        <v>916</v>
      </c>
    </row>
    <row r="175" customFormat="false" ht="15" hidden="false" customHeight="false" outlineLevel="0" collapsed="false">
      <c r="A175" s="8" t="s">
        <v>917</v>
      </c>
      <c r="B175" s="9" t="s">
        <v>918</v>
      </c>
      <c r="C175" s="9" t="s">
        <v>919</v>
      </c>
      <c r="D175" s="9" t="s">
        <v>920</v>
      </c>
      <c r="E175" s="9" t="s">
        <v>921</v>
      </c>
      <c r="F175" s="9" t="s">
        <v>246</v>
      </c>
      <c r="G175" s="9" t="s">
        <v>71</v>
      </c>
      <c r="H175" s="9" t="s">
        <v>72</v>
      </c>
      <c r="I175" s="9" t="s">
        <v>42</v>
      </c>
      <c r="J175" s="9" t="s">
        <v>65</v>
      </c>
      <c r="K175" s="9" t="s">
        <v>922</v>
      </c>
    </row>
    <row r="176" customFormat="false" ht="15" hidden="false" customHeight="false" outlineLevel="0" collapsed="false">
      <c r="A176" s="6" t="s">
        <v>923</v>
      </c>
      <c r="B176" s="7" t="s">
        <v>924</v>
      </c>
      <c r="C176" s="7" t="s">
        <v>925</v>
      </c>
      <c r="D176" s="7" t="s">
        <v>926</v>
      </c>
      <c r="E176" s="7" t="s">
        <v>415</v>
      </c>
      <c r="F176" s="7" t="s">
        <v>246</v>
      </c>
      <c r="G176" s="7" t="s">
        <v>55</v>
      </c>
      <c r="H176" s="7" t="s">
        <v>161</v>
      </c>
      <c r="I176" s="7" t="s">
        <v>643</v>
      </c>
      <c r="J176" s="7" t="s">
        <v>233</v>
      </c>
      <c r="K176" s="7" t="s">
        <v>927</v>
      </c>
    </row>
    <row r="177" customFormat="false" ht="22.35" hidden="false" customHeight="false" outlineLevel="0" collapsed="false">
      <c r="A177" s="8" t="s">
        <v>928</v>
      </c>
      <c r="B177" s="9" t="s">
        <v>929</v>
      </c>
      <c r="C177" s="9" t="s">
        <v>930</v>
      </c>
      <c r="D177" s="9" t="s">
        <v>931</v>
      </c>
      <c r="E177" s="9" t="s">
        <v>77</v>
      </c>
      <c r="F177" s="9" t="s">
        <v>77</v>
      </c>
      <c r="G177" s="9" t="s">
        <v>48</v>
      </c>
      <c r="H177" s="9" t="s">
        <v>49</v>
      </c>
      <c r="I177" s="9" t="s">
        <v>42</v>
      </c>
      <c r="J177" s="9" t="s">
        <v>43</v>
      </c>
      <c r="K177" s="9" t="s">
        <v>932</v>
      </c>
    </row>
    <row r="178" customFormat="false" ht="32.8" hidden="false" customHeight="false" outlineLevel="0" collapsed="false">
      <c r="A178" s="6" t="s">
        <v>91</v>
      </c>
      <c r="B178" s="7" t="s">
        <v>933</v>
      </c>
      <c r="C178" s="7" t="s">
        <v>934</v>
      </c>
      <c r="D178" s="7" t="s">
        <v>931</v>
      </c>
      <c r="E178" s="7" t="s">
        <v>95</v>
      </c>
      <c r="F178" s="7" t="s">
        <v>95</v>
      </c>
      <c r="G178" s="7" t="s">
        <v>96</v>
      </c>
      <c r="H178" s="7" t="s">
        <v>97</v>
      </c>
      <c r="I178" s="7" t="s">
        <v>98</v>
      </c>
      <c r="J178" s="7" t="s">
        <v>99</v>
      </c>
      <c r="K178" s="7" t="s">
        <v>935</v>
      </c>
    </row>
    <row r="179" customFormat="false" ht="15" hidden="false" customHeight="false" outlineLevel="0" collapsed="false">
      <c r="A179" s="8" t="s">
        <v>936</v>
      </c>
      <c r="B179" s="9" t="s">
        <v>937</v>
      </c>
      <c r="C179" s="9" t="s">
        <v>938</v>
      </c>
      <c r="D179" s="9" t="s">
        <v>931</v>
      </c>
      <c r="E179" s="9" t="s">
        <v>40</v>
      </c>
      <c r="F179" s="9" t="s">
        <v>41</v>
      </c>
      <c r="G179" s="9" t="s">
        <v>48</v>
      </c>
      <c r="H179" s="9" t="s">
        <v>49</v>
      </c>
      <c r="I179" s="9" t="s">
        <v>42</v>
      </c>
      <c r="J179" s="9" t="s">
        <v>50</v>
      </c>
      <c r="K179" s="9" t="s">
        <v>939</v>
      </c>
    </row>
    <row r="180" customFormat="false" ht="32.8" hidden="false" customHeight="false" outlineLevel="0" collapsed="false">
      <c r="A180" s="6" t="s">
        <v>940</v>
      </c>
      <c r="B180" s="7" t="s">
        <v>941</v>
      </c>
      <c r="C180" s="7" t="s">
        <v>942</v>
      </c>
      <c r="D180" s="7" t="s">
        <v>931</v>
      </c>
      <c r="E180" s="7" t="s">
        <v>95</v>
      </c>
      <c r="F180" s="7" t="s">
        <v>95</v>
      </c>
      <c r="G180" s="7" t="s">
        <v>96</v>
      </c>
      <c r="H180" s="7" t="s">
        <v>97</v>
      </c>
      <c r="I180" s="7" t="s">
        <v>285</v>
      </c>
      <c r="J180" s="7" t="s">
        <v>43</v>
      </c>
      <c r="K180" s="7" t="s">
        <v>943</v>
      </c>
    </row>
    <row r="181" customFormat="false" ht="15" hidden="false" customHeight="false" outlineLevel="0" collapsed="false">
      <c r="A181" s="8" t="s">
        <v>944</v>
      </c>
      <c r="B181" s="9" t="s">
        <v>945</v>
      </c>
      <c r="C181" s="9" t="s">
        <v>946</v>
      </c>
      <c r="D181" s="9" t="s">
        <v>931</v>
      </c>
      <c r="E181" s="9" t="s">
        <v>40</v>
      </c>
      <c r="F181" s="9" t="s">
        <v>41</v>
      </c>
      <c r="G181" s="9" t="s">
        <v>71</v>
      </c>
      <c r="H181" s="9" t="s">
        <v>72</v>
      </c>
      <c r="I181" s="9" t="s">
        <v>42</v>
      </c>
      <c r="J181" s="9" t="s">
        <v>43</v>
      </c>
      <c r="K181" s="9" t="s">
        <v>947</v>
      </c>
    </row>
    <row r="182" customFormat="false" ht="22.35" hidden="false" customHeight="false" outlineLevel="0" collapsed="false">
      <c r="A182" s="6" t="s">
        <v>948</v>
      </c>
      <c r="B182" s="7" t="s">
        <v>949</v>
      </c>
      <c r="C182" s="7" t="s">
        <v>950</v>
      </c>
      <c r="D182" s="7" t="s">
        <v>931</v>
      </c>
      <c r="E182" s="7" t="s">
        <v>40</v>
      </c>
      <c r="F182" s="7" t="s">
        <v>41</v>
      </c>
      <c r="G182" s="7"/>
      <c r="H182" s="7"/>
      <c r="I182" s="7" t="s">
        <v>42</v>
      </c>
      <c r="J182" s="7" t="s">
        <v>65</v>
      </c>
      <c r="K182" s="7" t="s">
        <v>951</v>
      </c>
    </row>
    <row r="183" customFormat="false" ht="32.8" hidden="false" customHeight="false" outlineLevel="0" collapsed="false">
      <c r="A183" s="8" t="s">
        <v>952</v>
      </c>
      <c r="B183" s="9" t="s">
        <v>953</v>
      </c>
      <c r="C183" s="9" t="s">
        <v>954</v>
      </c>
      <c r="D183" s="9" t="s">
        <v>931</v>
      </c>
      <c r="E183" s="9" t="s">
        <v>77</v>
      </c>
      <c r="F183" s="9" t="s">
        <v>77</v>
      </c>
      <c r="G183" s="9" t="s">
        <v>48</v>
      </c>
      <c r="H183" s="9" t="s">
        <v>49</v>
      </c>
      <c r="I183" s="9" t="s">
        <v>285</v>
      </c>
      <c r="J183" s="9" t="s">
        <v>117</v>
      </c>
      <c r="K183" s="9" t="s">
        <v>955</v>
      </c>
    </row>
    <row r="184" customFormat="false" ht="22.35" hidden="false" customHeight="false" outlineLevel="0" collapsed="false">
      <c r="A184" s="6" t="s">
        <v>956</v>
      </c>
      <c r="B184" s="7" t="s">
        <v>957</v>
      </c>
      <c r="C184" s="7" t="s">
        <v>958</v>
      </c>
      <c r="D184" s="7" t="s">
        <v>931</v>
      </c>
      <c r="E184" s="7" t="s">
        <v>95</v>
      </c>
      <c r="F184" s="7" t="s">
        <v>95</v>
      </c>
      <c r="G184" s="7" t="s">
        <v>48</v>
      </c>
      <c r="H184" s="7" t="s">
        <v>112</v>
      </c>
      <c r="I184" s="7" t="s">
        <v>98</v>
      </c>
      <c r="J184" s="7" t="s">
        <v>99</v>
      </c>
      <c r="K184" s="7" t="s">
        <v>959</v>
      </c>
    </row>
    <row r="185" customFormat="false" ht="15" hidden="false" customHeight="false" outlineLevel="0" collapsed="false">
      <c r="A185" s="8" t="s">
        <v>960</v>
      </c>
      <c r="B185" s="9" t="s">
        <v>961</v>
      </c>
      <c r="C185" s="9" t="s">
        <v>962</v>
      </c>
      <c r="D185" s="9" t="s">
        <v>931</v>
      </c>
      <c r="E185" s="9" t="s">
        <v>40</v>
      </c>
      <c r="F185" s="9" t="s">
        <v>41</v>
      </c>
      <c r="G185" s="9" t="s">
        <v>55</v>
      </c>
      <c r="H185" s="9" t="s">
        <v>232</v>
      </c>
      <c r="I185" s="9" t="s">
        <v>42</v>
      </c>
      <c r="J185" s="9" t="s">
        <v>43</v>
      </c>
      <c r="K185" s="9" t="s">
        <v>963</v>
      </c>
    </row>
    <row r="186" customFormat="false" ht="22.35" hidden="false" customHeight="false" outlineLevel="0" collapsed="false">
      <c r="A186" s="6" t="s">
        <v>964</v>
      </c>
      <c r="B186" s="7" t="s">
        <v>965</v>
      </c>
      <c r="C186" s="7" t="s">
        <v>966</v>
      </c>
      <c r="D186" s="7" t="s">
        <v>931</v>
      </c>
      <c r="E186" s="7" t="s">
        <v>217</v>
      </c>
      <c r="F186" s="7" t="s">
        <v>41</v>
      </c>
      <c r="G186" s="7" t="s">
        <v>48</v>
      </c>
      <c r="H186" s="7" t="s">
        <v>49</v>
      </c>
      <c r="I186" s="7" t="s">
        <v>98</v>
      </c>
      <c r="J186" s="7" t="s">
        <v>233</v>
      </c>
      <c r="K186" s="7" t="s">
        <v>967</v>
      </c>
    </row>
    <row r="187" customFormat="false" ht="22.35" hidden="false" customHeight="false" outlineLevel="0" collapsed="false">
      <c r="A187" s="8" t="s">
        <v>968</v>
      </c>
      <c r="B187" s="9" t="s">
        <v>969</v>
      </c>
      <c r="C187" s="9" t="s">
        <v>970</v>
      </c>
      <c r="D187" s="9" t="s">
        <v>931</v>
      </c>
      <c r="E187" s="9" t="s">
        <v>40</v>
      </c>
      <c r="F187" s="9" t="s">
        <v>41</v>
      </c>
      <c r="G187" s="9" t="s">
        <v>258</v>
      </c>
      <c r="H187" s="9" t="s">
        <v>259</v>
      </c>
      <c r="I187" s="9" t="s">
        <v>42</v>
      </c>
      <c r="J187" s="9" t="s">
        <v>50</v>
      </c>
      <c r="K187" s="9" t="s">
        <v>971</v>
      </c>
    </row>
    <row r="188" customFormat="false" ht="22.35" hidden="false" customHeight="false" outlineLevel="0" collapsed="false">
      <c r="A188" s="6" t="s">
        <v>972</v>
      </c>
      <c r="B188" s="7" t="s">
        <v>973</v>
      </c>
      <c r="C188" s="7" t="s">
        <v>974</v>
      </c>
      <c r="D188" s="7" t="s">
        <v>975</v>
      </c>
      <c r="E188" s="7" t="s">
        <v>217</v>
      </c>
      <c r="F188" s="7" t="s">
        <v>41</v>
      </c>
      <c r="G188" s="7" t="s">
        <v>258</v>
      </c>
      <c r="H188" s="7" t="s">
        <v>259</v>
      </c>
      <c r="I188" s="7" t="s">
        <v>98</v>
      </c>
      <c r="J188" s="7" t="s">
        <v>233</v>
      </c>
      <c r="K188" s="7" t="s">
        <v>976</v>
      </c>
    </row>
    <row r="189" customFormat="false" ht="15" hidden="false" customHeight="false" outlineLevel="0" collapsed="false">
      <c r="A189" s="8" t="s">
        <v>977</v>
      </c>
      <c r="B189" s="9" t="s">
        <v>978</v>
      </c>
      <c r="C189" s="9" t="s">
        <v>979</v>
      </c>
      <c r="D189" s="9" t="s">
        <v>980</v>
      </c>
      <c r="E189" s="9" t="s">
        <v>347</v>
      </c>
      <c r="F189" s="9" t="s">
        <v>111</v>
      </c>
      <c r="G189" s="9" t="s">
        <v>48</v>
      </c>
      <c r="H189" s="9" t="s">
        <v>49</v>
      </c>
      <c r="I189" s="9" t="s">
        <v>42</v>
      </c>
      <c r="J189" s="9" t="s">
        <v>65</v>
      </c>
      <c r="K189" s="9" t="s">
        <v>981</v>
      </c>
    </row>
    <row r="190" customFormat="false" ht="15" hidden="false" customHeight="false" outlineLevel="0" collapsed="false">
      <c r="A190" s="6" t="s">
        <v>982</v>
      </c>
      <c r="B190" s="7" t="s">
        <v>983</v>
      </c>
      <c r="C190" s="7" t="s">
        <v>984</v>
      </c>
      <c r="D190" s="7" t="s">
        <v>980</v>
      </c>
      <c r="E190" s="7" t="s">
        <v>40</v>
      </c>
      <c r="F190" s="7" t="s">
        <v>41</v>
      </c>
      <c r="G190" s="7" t="s">
        <v>48</v>
      </c>
      <c r="H190" s="7" t="s">
        <v>49</v>
      </c>
      <c r="I190" s="7" t="s">
        <v>42</v>
      </c>
      <c r="J190" s="7" t="s">
        <v>50</v>
      </c>
      <c r="K190" s="7" t="s">
        <v>985</v>
      </c>
    </row>
    <row r="191" customFormat="false" ht="22.35" hidden="false" customHeight="false" outlineLevel="0" collapsed="false">
      <c r="A191" s="8" t="s">
        <v>986</v>
      </c>
      <c r="B191" s="9" t="s">
        <v>987</v>
      </c>
      <c r="C191" s="9" t="s">
        <v>988</v>
      </c>
      <c r="D191" s="9" t="s">
        <v>980</v>
      </c>
      <c r="E191" s="9" t="s">
        <v>40</v>
      </c>
      <c r="F191" s="9" t="s">
        <v>41</v>
      </c>
      <c r="G191" s="9" t="s">
        <v>48</v>
      </c>
      <c r="H191" s="9" t="s">
        <v>49</v>
      </c>
      <c r="I191" s="9" t="s">
        <v>42</v>
      </c>
      <c r="J191" s="9" t="s">
        <v>50</v>
      </c>
      <c r="K191" s="9" t="s">
        <v>989</v>
      </c>
    </row>
    <row r="192" customFormat="false" ht="15" hidden="false" customHeight="false" outlineLevel="0" collapsed="false">
      <c r="A192" s="6" t="s">
        <v>990</v>
      </c>
      <c r="B192" s="7" t="s">
        <v>991</v>
      </c>
      <c r="C192" s="7" t="s">
        <v>992</v>
      </c>
      <c r="D192" s="7" t="s">
        <v>980</v>
      </c>
      <c r="E192" s="7" t="s">
        <v>40</v>
      </c>
      <c r="F192" s="7" t="s">
        <v>41</v>
      </c>
      <c r="G192" s="7" t="s">
        <v>154</v>
      </c>
      <c r="H192" s="7" t="s">
        <v>155</v>
      </c>
      <c r="I192" s="7" t="s">
        <v>285</v>
      </c>
      <c r="J192" s="7" t="s">
        <v>65</v>
      </c>
      <c r="K192" s="7" t="s">
        <v>993</v>
      </c>
    </row>
    <row r="193" customFormat="false" ht="22.35" hidden="false" customHeight="false" outlineLevel="0" collapsed="false">
      <c r="A193" s="8" t="s">
        <v>994</v>
      </c>
      <c r="B193" s="9" t="s">
        <v>995</v>
      </c>
      <c r="C193" s="9" t="s">
        <v>996</v>
      </c>
      <c r="D193" s="9" t="s">
        <v>980</v>
      </c>
      <c r="E193" s="9" t="s">
        <v>40</v>
      </c>
      <c r="F193" s="9" t="s">
        <v>41</v>
      </c>
      <c r="G193" s="9" t="s">
        <v>48</v>
      </c>
      <c r="H193" s="9" t="s">
        <v>49</v>
      </c>
      <c r="I193" s="9" t="s">
        <v>42</v>
      </c>
      <c r="J193" s="9" t="s">
        <v>50</v>
      </c>
      <c r="K193" s="9" t="s">
        <v>997</v>
      </c>
    </row>
    <row r="194" customFormat="false" ht="22.35" hidden="false" customHeight="false" outlineLevel="0" collapsed="false">
      <c r="A194" s="6" t="s">
        <v>998</v>
      </c>
      <c r="B194" s="7" t="s">
        <v>999</v>
      </c>
      <c r="C194" s="7" t="s">
        <v>1000</v>
      </c>
      <c r="D194" s="7" t="s">
        <v>1001</v>
      </c>
      <c r="E194" s="7" t="s">
        <v>166</v>
      </c>
      <c r="F194" s="7" t="s">
        <v>111</v>
      </c>
      <c r="G194" s="7" t="s">
        <v>49</v>
      </c>
      <c r="H194" s="7"/>
      <c r="I194" s="7" t="s">
        <v>478</v>
      </c>
      <c r="J194" s="7" t="s">
        <v>65</v>
      </c>
      <c r="K194" s="7" t="s">
        <v>1002</v>
      </c>
    </row>
    <row r="195" customFormat="false" ht="22.35" hidden="false" customHeight="false" outlineLevel="0" collapsed="false">
      <c r="A195" s="8" t="s">
        <v>1003</v>
      </c>
      <c r="B195" s="9" t="s">
        <v>1004</v>
      </c>
      <c r="C195" s="9" t="s">
        <v>1005</v>
      </c>
      <c r="D195" s="9" t="s">
        <v>1006</v>
      </c>
      <c r="E195" s="9" t="s">
        <v>40</v>
      </c>
      <c r="F195" s="9" t="s">
        <v>41</v>
      </c>
      <c r="G195" s="9" t="s">
        <v>154</v>
      </c>
      <c r="H195" s="9" t="s">
        <v>525</v>
      </c>
      <c r="I195" s="9" t="s">
        <v>285</v>
      </c>
      <c r="J195" s="9" t="s">
        <v>65</v>
      </c>
      <c r="K195" s="9" t="s">
        <v>1007</v>
      </c>
    </row>
    <row r="196" customFormat="false" ht="15" hidden="false" customHeight="false" outlineLevel="0" collapsed="false">
      <c r="A196" s="6" t="s">
        <v>1008</v>
      </c>
      <c r="B196" s="7" t="s">
        <v>1009</v>
      </c>
      <c r="C196" s="7" t="s">
        <v>1010</v>
      </c>
      <c r="D196" s="7" t="s">
        <v>1011</v>
      </c>
      <c r="E196" s="7" t="s">
        <v>40</v>
      </c>
      <c r="F196" s="7" t="s">
        <v>41</v>
      </c>
      <c r="G196" s="7" t="s">
        <v>48</v>
      </c>
      <c r="H196" s="7" t="s">
        <v>112</v>
      </c>
      <c r="I196" s="7" t="s">
        <v>42</v>
      </c>
      <c r="J196" s="7" t="s">
        <v>57</v>
      </c>
      <c r="K196" s="7" t="s">
        <v>1012</v>
      </c>
    </row>
    <row r="197" customFormat="false" ht="22.35" hidden="false" customHeight="false" outlineLevel="0" collapsed="false">
      <c r="A197" s="8" t="s">
        <v>1013</v>
      </c>
      <c r="B197" s="9" t="s">
        <v>1014</v>
      </c>
      <c r="C197" s="9" t="s">
        <v>489</v>
      </c>
      <c r="D197" s="9" t="s">
        <v>1011</v>
      </c>
      <c r="E197" s="9" t="s">
        <v>40</v>
      </c>
      <c r="F197" s="9" t="s">
        <v>41</v>
      </c>
      <c r="G197" s="9" t="s">
        <v>48</v>
      </c>
      <c r="H197" s="9" t="s">
        <v>112</v>
      </c>
      <c r="I197" s="9" t="s">
        <v>42</v>
      </c>
      <c r="J197" s="9" t="s">
        <v>50</v>
      </c>
      <c r="K197" s="9" t="s">
        <v>1015</v>
      </c>
    </row>
    <row r="198" customFormat="false" ht="15" hidden="false" customHeight="false" outlineLevel="0" collapsed="false">
      <c r="A198" s="6" t="s">
        <v>1016</v>
      </c>
      <c r="B198" s="7" t="s">
        <v>1017</v>
      </c>
      <c r="C198" s="7" t="s">
        <v>1018</v>
      </c>
      <c r="D198" s="7" t="s">
        <v>1011</v>
      </c>
      <c r="E198" s="7" t="s">
        <v>95</v>
      </c>
      <c r="F198" s="7" t="s">
        <v>95</v>
      </c>
      <c r="G198" s="7" t="s">
        <v>258</v>
      </c>
      <c r="H198" s="7" t="s">
        <v>259</v>
      </c>
      <c r="I198" s="7" t="s">
        <v>98</v>
      </c>
      <c r="J198" s="7" t="s">
        <v>57</v>
      </c>
      <c r="K198" s="7" t="s">
        <v>1019</v>
      </c>
    </row>
    <row r="199" customFormat="false" ht="15" hidden="false" customHeight="false" outlineLevel="0" collapsed="false">
      <c r="A199" s="8" t="s">
        <v>1020</v>
      </c>
      <c r="B199" s="9" t="s">
        <v>1021</v>
      </c>
      <c r="C199" s="9" t="s">
        <v>1022</v>
      </c>
      <c r="D199" s="9" t="s">
        <v>1011</v>
      </c>
      <c r="E199" s="9" t="s">
        <v>40</v>
      </c>
      <c r="F199" s="9" t="s">
        <v>41</v>
      </c>
      <c r="G199" s="9"/>
      <c r="H199" s="9"/>
      <c r="I199" s="9" t="s">
        <v>42</v>
      </c>
      <c r="J199" s="9" t="s">
        <v>50</v>
      </c>
      <c r="K199" s="9" t="s">
        <v>1023</v>
      </c>
    </row>
    <row r="200" customFormat="false" ht="15" hidden="false" customHeight="false" outlineLevel="0" collapsed="false">
      <c r="A200" s="6" t="s">
        <v>1024</v>
      </c>
      <c r="B200" s="7" t="s">
        <v>1025</v>
      </c>
      <c r="C200" s="7" t="s">
        <v>1026</v>
      </c>
      <c r="D200" s="7" t="s">
        <v>1011</v>
      </c>
      <c r="E200" s="7" t="s">
        <v>95</v>
      </c>
      <c r="F200" s="7" t="s">
        <v>95</v>
      </c>
      <c r="G200" s="7" t="s">
        <v>222</v>
      </c>
      <c r="H200" s="7" t="s">
        <v>223</v>
      </c>
      <c r="I200" s="7" t="s">
        <v>98</v>
      </c>
      <c r="J200" s="7" t="s">
        <v>99</v>
      </c>
      <c r="K200" s="7" t="s">
        <v>1027</v>
      </c>
    </row>
    <row r="201" customFormat="false" ht="22.35" hidden="false" customHeight="false" outlineLevel="0" collapsed="false">
      <c r="A201" s="8" t="s">
        <v>1028</v>
      </c>
      <c r="B201" s="9" t="s">
        <v>1029</v>
      </c>
      <c r="C201" s="9" t="s">
        <v>1030</v>
      </c>
      <c r="D201" s="9" t="s">
        <v>1011</v>
      </c>
      <c r="E201" s="9" t="s">
        <v>40</v>
      </c>
      <c r="F201" s="9" t="s">
        <v>41</v>
      </c>
      <c r="G201" s="9" t="s">
        <v>48</v>
      </c>
      <c r="H201" s="9" t="s">
        <v>176</v>
      </c>
      <c r="I201" s="9" t="s">
        <v>42</v>
      </c>
      <c r="J201" s="9" t="s">
        <v>65</v>
      </c>
      <c r="K201" s="9" t="s">
        <v>1031</v>
      </c>
    </row>
    <row r="202" customFormat="false" ht="32.8" hidden="false" customHeight="false" outlineLevel="0" collapsed="false">
      <c r="A202" s="6" t="s">
        <v>1032</v>
      </c>
      <c r="B202" s="7" t="s">
        <v>1033</v>
      </c>
      <c r="C202" s="7" t="s">
        <v>1034</v>
      </c>
      <c r="D202" s="7" t="s">
        <v>1011</v>
      </c>
      <c r="E202" s="7" t="s">
        <v>95</v>
      </c>
      <c r="F202" s="7" t="s">
        <v>95</v>
      </c>
      <c r="G202" s="7" t="s">
        <v>63</v>
      </c>
      <c r="H202" s="7" t="s">
        <v>64</v>
      </c>
      <c r="I202" s="7" t="s">
        <v>285</v>
      </c>
      <c r="J202" s="7" t="s">
        <v>50</v>
      </c>
      <c r="K202" s="7" t="s">
        <v>1035</v>
      </c>
    </row>
    <row r="203" customFormat="false" ht="22.35" hidden="false" customHeight="false" outlineLevel="0" collapsed="false">
      <c r="A203" s="8" t="s">
        <v>1036</v>
      </c>
      <c r="B203" s="9" t="s">
        <v>1037</v>
      </c>
      <c r="C203" s="9" t="s">
        <v>1038</v>
      </c>
      <c r="D203" s="9" t="s">
        <v>1039</v>
      </c>
      <c r="E203" s="9" t="s">
        <v>1040</v>
      </c>
      <c r="F203" s="9" t="s">
        <v>246</v>
      </c>
      <c r="G203" s="9" t="s">
        <v>154</v>
      </c>
      <c r="H203" s="9" t="s">
        <v>525</v>
      </c>
      <c r="I203" s="9" t="s">
        <v>310</v>
      </c>
      <c r="J203" s="9" t="s">
        <v>65</v>
      </c>
      <c r="K203" s="9" t="s">
        <v>1041</v>
      </c>
    </row>
    <row r="204" customFormat="false" ht="15" hidden="false" customHeight="false" outlineLevel="0" collapsed="false">
      <c r="A204" s="6" t="s">
        <v>1042</v>
      </c>
      <c r="B204" s="7" t="s">
        <v>1043</v>
      </c>
      <c r="C204" s="7" t="s">
        <v>1044</v>
      </c>
      <c r="D204" s="7" t="s">
        <v>1045</v>
      </c>
      <c r="E204" s="7" t="s">
        <v>217</v>
      </c>
      <c r="F204" s="7" t="s">
        <v>41</v>
      </c>
      <c r="G204" s="7" t="s">
        <v>48</v>
      </c>
      <c r="H204" s="7" t="s">
        <v>49</v>
      </c>
      <c r="I204" s="7" t="s">
        <v>42</v>
      </c>
      <c r="J204" s="7" t="s">
        <v>233</v>
      </c>
      <c r="K204" s="7" t="s">
        <v>1046</v>
      </c>
    </row>
    <row r="205" customFormat="false" ht="15" hidden="false" customHeight="false" outlineLevel="0" collapsed="false">
      <c r="A205" s="8" t="s">
        <v>1047</v>
      </c>
      <c r="B205" s="9" t="s">
        <v>1048</v>
      </c>
      <c r="C205" s="9" t="s">
        <v>1049</v>
      </c>
      <c r="D205" s="9" t="s">
        <v>1045</v>
      </c>
      <c r="E205" s="9" t="s">
        <v>245</v>
      </c>
      <c r="F205" s="9" t="s">
        <v>246</v>
      </c>
      <c r="G205" s="9" t="s">
        <v>48</v>
      </c>
      <c r="H205" s="9" t="s">
        <v>49</v>
      </c>
      <c r="I205" s="9" t="s">
        <v>42</v>
      </c>
      <c r="J205" s="9" t="s">
        <v>65</v>
      </c>
      <c r="K205" s="9" t="s">
        <v>1050</v>
      </c>
    </row>
    <row r="206" customFormat="false" ht="15" hidden="false" customHeight="false" outlineLevel="0" collapsed="false">
      <c r="A206" s="6" t="s">
        <v>1051</v>
      </c>
      <c r="B206" s="7" t="s">
        <v>1052</v>
      </c>
      <c r="C206" s="7" t="s">
        <v>1053</v>
      </c>
      <c r="D206" s="7" t="s">
        <v>1054</v>
      </c>
      <c r="E206" s="7" t="s">
        <v>166</v>
      </c>
      <c r="F206" s="7" t="s">
        <v>111</v>
      </c>
      <c r="G206" s="7" t="s">
        <v>48</v>
      </c>
      <c r="H206" s="7" t="s">
        <v>49</v>
      </c>
      <c r="I206" s="7" t="s">
        <v>42</v>
      </c>
      <c r="J206" s="7" t="s">
        <v>65</v>
      </c>
      <c r="K206" s="7" t="s">
        <v>1055</v>
      </c>
    </row>
    <row r="207" customFormat="false" ht="22.35" hidden="false" customHeight="false" outlineLevel="0" collapsed="false">
      <c r="A207" s="8" t="s">
        <v>1056</v>
      </c>
      <c r="B207" s="9" t="s">
        <v>1057</v>
      </c>
      <c r="C207" s="9" t="s">
        <v>844</v>
      </c>
      <c r="D207" s="9" t="s">
        <v>1058</v>
      </c>
      <c r="E207" s="9" t="s">
        <v>245</v>
      </c>
      <c r="F207" s="9" t="s">
        <v>246</v>
      </c>
      <c r="G207" s="9" t="s">
        <v>48</v>
      </c>
      <c r="H207" s="9" t="s">
        <v>49</v>
      </c>
      <c r="I207" s="9" t="s">
        <v>285</v>
      </c>
      <c r="J207" s="9" t="s">
        <v>512</v>
      </c>
      <c r="K207" s="9" t="s">
        <v>1059</v>
      </c>
    </row>
    <row r="208" customFormat="false" ht="15" hidden="false" customHeight="false" outlineLevel="0" collapsed="false">
      <c r="A208" s="6" t="s">
        <v>1060</v>
      </c>
      <c r="B208" s="7" t="s">
        <v>1061</v>
      </c>
      <c r="C208" s="7" t="s">
        <v>1062</v>
      </c>
      <c r="D208" s="7" t="s">
        <v>1058</v>
      </c>
      <c r="E208" s="7" t="s">
        <v>217</v>
      </c>
      <c r="F208" s="7" t="s">
        <v>41</v>
      </c>
      <c r="G208" s="7" t="s">
        <v>48</v>
      </c>
      <c r="H208" s="7" t="s">
        <v>49</v>
      </c>
      <c r="I208" s="7" t="s">
        <v>42</v>
      </c>
      <c r="J208" s="7" t="s">
        <v>512</v>
      </c>
      <c r="K208" s="7" t="s">
        <v>1063</v>
      </c>
    </row>
    <row r="209" customFormat="false" ht="15" hidden="false" customHeight="false" outlineLevel="0" collapsed="false">
      <c r="A209" s="8" t="s">
        <v>1064</v>
      </c>
      <c r="B209" s="9" t="s">
        <v>1065</v>
      </c>
      <c r="C209" s="9" t="s">
        <v>974</v>
      </c>
      <c r="D209" s="9" t="s">
        <v>1058</v>
      </c>
      <c r="E209" s="9" t="s">
        <v>217</v>
      </c>
      <c r="F209" s="9" t="s">
        <v>41</v>
      </c>
      <c r="G209" s="9" t="s">
        <v>258</v>
      </c>
      <c r="H209" s="9" t="s">
        <v>259</v>
      </c>
      <c r="I209" s="9" t="s">
        <v>98</v>
      </c>
      <c r="J209" s="9" t="s">
        <v>512</v>
      </c>
      <c r="K209" s="9" t="s">
        <v>1066</v>
      </c>
    </row>
    <row r="210" customFormat="false" ht="15" hidden="false" customHeight="false" outlineLevel="0" collapsed="false">
      <c r="A210" s="6" t="s">
        <v>1067</v>
      </c>
      <c r="B210" s="7" t="s">
        <v>1068</v>
      </c>
      <c r="C210" s="7" t="s">
        <v>1069</v>
      </c>
      <c r="D210" s="7" t="s">
        <v>1058</v>
      </c>
      <c r="E210" s="7" t="s">
        <v>505</v>
      </c>
      <c r="F210" s="7" t="s">
        <v>111</v>
      </c>
      <c r="G210" s="7" t="s">
        <v>48</v>
      </c>
      <c r="H210" s="7" t="s">
        <v>49</v>
      </c>
      <c r="I210" s="7" t="s">
        <v>98</v>
      </c>
      <c r="J210" s="7" t="s">
        <v>512</v>
      </c>
      <c r="K210" s="7" t="s">
        <v>1070</v>
      </c>
    </row>
    <row r="211" customFormat="false" ht="15" hidden="false" customHeight="false" outlineLevel="0" collapsed="false">
      <c r="A211" s="8" t="s">
        <v>1071</v>
      </c>
      <c r="B211" s="9" t="s">
        <v>1072</v>
      </c>
      <c r="C211" s="9" t="s">
        <v>1073</v>
      </c>
      <c r="D211" s="9" t="s">
        <v>1074</v>
      </c>
      <c r="E211" s="9" t="s">
        <v>40</v>
      </c>
      <c r="F211" s="9" t="s">
        <v>41</v>
      </c>
      <c r="G211" s="9" t="s">
        <v>55</v>
      </c>
      <c r="H211" s="9" t="s">
        <v>290</v>
      </c>
      <c r="I211" s="9" t="s">
        <v>491</v>
      </c>
      <c r="J211" s="9" t="s">
        <v>99</v>
      </c>
      <c r="K211" s="9" t="s">
        <v>1075</v>
      </c>
    </row>
    <row r="212" customFormat="false" ht="15" hidden="false" customHeight="false" outlineLevel="0" collapsed="false">
      <c r="A212" s="6" t="s">
        <v>1076</v>
      </c>
      <c r="B212" s="7" t="s">
        <v>1077</v>
      </c>
      <c r="C212" s="7" t="s">
        <v>1078</v>
      </c>
      <c r="D212" s="7" t="s">
        <v>1079</v>
      </c>
      <c r="E212" s="7" t="s">
        <v>40</v>
      </c>
      <c r="F212" s="7" t="s">
        <v>41</v>
      </c>
      <c r="G212" s="7" t="s">
        <v>48</v>
      </c>
      <c r="H212" s="7" t="s">
        <v>49</v>
      </c>
      <c r="I212" s="7" t="s">
        <v>42</v>
      </c>
      <c r="J212" s="7" t="s">
        <v>65</v>
      </c>
      <c r="K212" s="7" t="s">
        <v>1080</v>
      </c>
    </row>
    <row r="213" customFormat="false" ht="22.35" hidden="false" customHeight="false" outlineLevel="0" collapsed="false">
      <c r="A213" s="8" t="s">
        <v>1081</v>
      </c>
      <c r="B213" s="9" t="s">
        <v>1082</v>
      </c>
      <c r="C213" s="9" t="s">
        <v>1083</v>
      </c>
      <c r="D213" s="9" t="s">
        <v>1084</v>
      </c>
      <c r="E213" s="9" t="s">
        <v>217</v>
      </c>
      <c r="F213" s="9" t="s">
        <v>41</v>
      </c>
      <c r="G213" s="9" t="s">
        <v>154</v>
      </c>
      <c r="H213" s="9" t="s">
        <v>155</v>
      </c>
      <c r="I213" s="9" t="s">
        <v>285</v>
      </c>
      <c r="J213" s="9" t="s">
        <v>233</v>
      </c>
      <c r="K213" s="9" t="s">
        <v>1085</v>
      </c>
    </row>
    <row r="214" customFormat="false" ht="22.35" hidden="false" customHeight="false" outlineLevel="0" collapsed="false">
      <c r="A214" s="6" t="s">
        <v>1086</v>
      </c>
      <c r="B214" s="7" t="s">
        <v>1087</v>
      </c>
      <c r="C214" s="7" t="s">
        <v>1088</v>
      </c>
      <c r="D214" s="7" t="s">
        <v>1084</v>
      </c>
      <c r="E214" s="7" t="s">
        <v>245</v>
      </c>
      <c r="F214" s="7" t="s">
        <v>246</v>
      </c>
      <c r="G214" s="7" t="s">
        <v>48</v>
      </c>
      <c r="H214" s="7" t="s">
        <v>49</v>
      </c>
      <c r="I214" s="7" t="s">
        <v>42</v>
      </c>
      <c r="J214" s="7" t="s">
        <v>99</v>
      </c>
      <c r="K214" s="7" t="s">
        <v>1089</v>
      </c>
    </row>
    <row r="215" customFormat="false" ht="22.35" hidden="false" customHeight="false" outlineLevel="0" collapsed="false">
      <c r="A215" s="8" t="s">
        <v>1090</v>
      </c>
      <c r="B215" s="9" t="s">
        <v>1091</v>
      </c>
      <c r="C215" s="9" t="s">
        <v>1092</v>
      </c>
      <c r="D215" s="9" t="s">
        <v>1084</v>
      </c>
      <c r="E215" s="9" t="s">
        <v>40</v>
      </c>
      <c r="F215" s="9" t="s">
        <v>41</v>
      </c>
      <c r="G215" s="9" t="s">
        <v>48</v>
      </c>
      <c r="H215" s="9" t="s">
        <v>49</v>
      </c>
      <c r="I215" s="9" t="s">
        <v>98</v>
      </c>
      <c r="J215" s="9" t="s">
        <v>233</v>
      </c>
      <c r="K215" s="9" t="s">
        <v>1093</v>
      </c>
    </row>
    <row r="216" customFormat="false" ht="15" hidden="false" customHeight="false" outlineLevel="0" collapsed="false">
      <c r="A216" s="6" t="s">
        <v>1094</v>
      </c>
      <c r="B216" s="7" t="s">
        <v>1095</v>
      </c>
      <c r="C216" s="7" t="s">
        <v>1096</v>
      </c>
      <c r="D216" s="7" t="s">
        <v>1097</v>
      </c>
      <c r="E216" s="7" t="s">
        <v>166</v>
      </c>
      <c r="F216" s="7" t="s">
        <v>111</v>
      </c>
      <c r="G216" s="7" t="s">
        <v>96</v>
      </c>
      <c r="H216" s="7" t="s">
        <v>97</v>
      </c>
      <c r="I216" s="7" t="s">
        <v>1098</v>
      </c>
      <c r="J216" s="7" t="s">
        <v>117</v>
      </c>
      <c r="K216" s="7" t="s">
        <v>1099</v>
      </c>
    </row>
    <row r="217" customFormat="false" ht="22.35" hidden="false" customHeight="false" outlineLevel="0" collapsed="false">
      <c r="A217" s="8" t="s">
        <v>1100</v>
      </c>
      <c r="B217" s="9" t="s">
        <v>1101</v>
      </c>
      <c r="C217" s="9" t="s">
        <v>289</v>
      </c>
      <c r="D217" s="9" t="s">
        <v>1102</v>
      </c>
      <c r="E217" s="9" t="s">
        <v>245</v>
      </c>
      <c r="F217" s="9" t="s">
        <v>246</v>
      </c>
      <c r="G217" s="9" t="s">
        <v>48</v>
      </c>
      <c r="H217" s="9" t="s">
        <v>49</v>
      </c>
      <c r="I217" s="9" t="s">
        <v>310</v>
      </c>
      <c r="J217" s="9" t="s">
        <v>233</v>
      </c>
      <c r="K217" s="9" t="s">
        <v>1103</v>
      </c>
    </row>
    <row r="218" customFormat="false" ht="22.35" hidden="false" customHeight="false" outlineLevel="0" collapsed="false">
      <c r="A218" s="6" t="s">
        <v>1104</v>
      </c>
      <c r="B218" s="7" t="s">
        <v>1105</v>
      </c>
      <c r="C218" s="7" t="s">
        <v>1106</v>
      </c>
      <c r="D218" s="7" t="s">
        <v>1107</v>
      </c>
      <c r="E218" s="7" t="s">
        <v>40</v>
      </c>
      <c r="F218" s="7" t="s">
        <v>41</v>
      </c>
      <c r="G218" s="7" t="s">
        <v>48</v>
      </c>
      <c r="H218" s="7" t="s">
        <v>49</v>
      </c>
      <c r="I218" s="7" t="s">
        <v>42</v>
      </c>
      <c r="J218" s="7" t="s">
        <v>57</v>
      </c>
      <c r="K218" s="7" t="s">
        <v>1108</v>
      </c>
    </row>
    <row r="219" customFormat="false" ht="15" hidden="false" customHeight="false" outlineLevel="0" collapsed="false">
      <c r="A219" s="8" t="s">
        <v>1109</v>
      </c>
      <c r="B219" s="9" t="s">
        <v>1110</v>
      </c>
      <c r="C219" s="9" t="s">
        <v>1111</v>
      </c>
      <c r="D219" s="9" t="s">
        <v>1107</v>
      </c>
      <c r="E219" s="9" t="s">
        <v>77</v>
      </c>
      <c r="F219" s="9" t="s">
        <v>77</v>
      </c>
      <c r="G219" s="9" t="s">
        <v>48</v>
      </c>
      <c r="H219" s="9" t="s">
        <v>112</v>
      </c>
      <c r="I219" s="9" t="s">
        <v>42</v>
      </c>
      <c r="J219" s="9" t="s">
        <v>57</v>
      </c>
      <c r="K219" s="9" t="s">
        <v>1112</v>
      </c>
    </row>
    <row r="220" customFormat="false" ht="22.35" hidden="false" customHeight="false" outlineLevel="0" collapsed="false">
      <c r="A220" s="6" t="s">
        <v>1113</v>
      </c>
      <c r="B220" s="7" t="s">
        <v>1114</v>
      </c>
      <c r="C220" s="7" t="s">
        <v>1115</v>
      </c>
      <c r="D220" s="7" t="s">
        <v>1107</v>
      </c>
      <c r="E220" s="7" t="s">
        <v>210</v>
      </c>
      <c r="F220" s="7" t="s">
        <v>41</v>
      </c>
      <c r="G220" s="7" t="s">
        <v>48</v>
      </c>
      <c r="H220" s="7" t="s">
        <v>49</v>
      </c>
      <c r="I220" s="7" t="s">
        <v>42</v>
      </c>
      <c r="J220" s="7" t="s">
        <v>50</v>
      </c>
      <c r="K220" s="7" t="s">
        <v>1116</v>
      </c>
    </row>
    <row r="221" customFormat="false" ht="32.8" hidden="false" customHeight="false" outlineLevel="0" collapsed="false">
      <c r="A221" s="8" t="s">
        <v>1117</v>
      </c>
      <c r="B221" s="9" t="s">
        <v>1118</v>
      </c>
      <c r="C221" s="9" t="s">
        <v>1119</v>
      </c>
      <c r="D221" s="9" t="s">
        <v>1120</v>
      </c>
      <c r="E221" s="9" t="s">
        <v>40</v>
      </c>
      <c r="F221" s="9" t="s">
        <v>41</v>
      </c>
      <c r="G221" s="9" t="s">
        <v>96</v>
      </c>
      <c r="H221" s="9" t="s">
        <v>97</v>
      </c>
      <c r="I221" s="9" t="s">
        <v>98</v>
      </c>
      <c r="J221" s="9" t="s">
        <v>99</v>
      </c>
      <c r="K221" s="9" t="s">
        <v>1121</v>
      </c>
    </row>
    <row r="222" customFormat="false" ht="15" hidden="false" customHeight="false" outlineLevel="0" collapsed="false">
      <c r="A222" s="6" t="s">
        <v>1122</v>
      </c>
      <c r="B222" s="7" t="s">
        <v>1123</v>
      </c>
      <c r="C222" s="7" t="s">
        <v>1124</v>
      </c>
      <c r="D222" s="7" t="s">
        <v>1125</v>
      </c>
      <c r="E222" s="7" t="s">
        <v>40</v>
      </c>
      <c r="F222" s="7" t="s">
        <v>41</v>
      </c>
      <c r="G222" s="7" t="s">
        <v>48</v>
      </c>
      <c r="H222" s="7" t="s">
        <v>49</v>
      </c>
      <c r="I222" s="7" t="s">
        <v>42</v>
      </c>
      <c r="J222" s="7" t="s">
        <v>65</v>
      </c>
      <c r="K222" s="7" t="s">
        <v>1126</v>
      </c>
    </row>
    <row r="223" customFormat="false" ht="22.35" hidden="false" customHeight="false" outlineLevel="0" collapsed="false">
      <c r="A223" s="8" t="s">
        <v>1127</v>
      </c>
      <c r="B223" s="9" t="s">
        <v>1128</v>
      </c>
      <c r="C223" s="9" t="s">
        <v>1129</v>
      </c>
      <c r="D223" s="9" t="s">
        <v>1130</v>
      </c>
      <c r="E223" s="9" t="s">
        <v>40</v>
      </c>
      <c r="F223" s="9" t="s">
        <v>41</v>
      </c>
      <c r="G223" s="9" t="s">
        <v>48</v>
      </c>
      <c r="H223" s="9" t="s">
        <v>176</v>
      </c>
      <c r="I223" s="9" t="s">
        <v>42</v>
      </c>
      <c r="J223" s="9" t="s">
        <v>65</v>
      </c>
      <c r="K223" s="9" t="s">
        <v>1131</v>
      </c>
    </row>
    <row r="224" customFormat="false" ht="22.35" hidden="false" customHeight="false" outlineLevel="0" collapsed="false">
      <c r="A224" s="6" t="s">
        <v>1132</v>
      </c>
      <c r="B224" s="7" t="s">
        <v>1133</v>
      </c>
      <c r="C224" s="7" t="s">
        <v>1134</v>
      </c>
      <c r="D224" s="7" t="s">
        <v>1135</v>
      </c>
      <c r="E224" s="7" t="s">
        <v>40</v>
      </c>
      <c r="F224" s="7" t="s">
        <v>41</v>
      </c>
      <c r="G224" s="7" t="s">
        <v>48</v>
      </c>
      <c r="H224" s="7" t="s">
        <v>49</v>
      </c>
      <c r="I224" s="7" t="s">
        <v>622</v>
      </c>
      <c r="J224" s="7" t="s">
        <v>233</v>
      </c>
      <c r="K224" s="7" t="s">
        <v>1136</v>
      </c>
    </row>
    <row r="225" customFormat="false" ht="22.35" hidden="false" customHeight="false" outlineLevel="0" collapsed="false">
      <c r="A225" s="8" t="s">
        <v>1137</v>
      </c>
      <c r="B225" s="9" t="s">
        <v>1138</v>
      </c>
      <c r="C225" s="9" t="s">
        <v>881</v>
      </c>
      <c r="D225" s="9" t="s">
        <v>1135</v>
      </c>
      <c r="E225" s="9" t="s">
        <v>40</v>
      </c>
      <c r="F225" s="9" t="s">
        <v>41</v>
      </c>
      <c r="G225" s="9" t="s">
        <v>63</v>
      </c>
      <c r="H225" s="9" t="s">
        <v>64</v>
      </c>
      <c r="I225" s="9" t="s">
        <v>622</v>
      </c>
      <c r="J225" s="9" t="s">
        <v>233</v>
      </c>
      <c r="K225" s="9" t="s">
        <v>1139</v>
      </c>
    </row>
    <row r="226" customFormat="false" ht="22.35" hidden="false" customHeight="false" outlineLevel="0" collapsed="false">
      <c r="A226" s="6" t="s">
        <v>1140</v>
      </c>
      <c r="B226" s="7" t="s">
        <v>1141</v>
      </c>
      <c r="C226" s="7" t="s">
        <v>1142</v>
      </c>
      <c r="D226" s="7" t="s">
        <v>1143</v>
      </c>
      <c r="E226" s="7" t="s">
        <v>40</v>
      </c>
      <c r="F226" s="7" t="s">
        <v>41</v>
      </c>
      <c r="G226" s="7" t="s">
        <v>48</v>
      </c>
      <c r="H226" s="7" t="s">
        <v>176</v>
      </c>
      <c r="I226" s="7" t="s">
        <v>622</v>
      </c>
      <c r="J226" s="7" t="s">
        <v>233</v>
      </c>
      <c r="K226" s="7" t="s">
        <v>1144</v>
      </c>
    </row>
    <row r="227" customFormat="false" ht="15" hidden="false" customHeight="false" outlineLevel="0" collapsed="false">
      <c r="A227" s="8" t="s">
        <v>1145</v>
      </c>
      <c r="B227" s="9" t="s">
        <v>1146</v>
      </c>
      <c r="C227" s="9" t="s">
        <v>1147</v>
      </c>
      <c r="D227" s="9" t="s">
        <v>1148</v>
      </c>
      <c r="E227" s="9" t="s">
        <v>40</v>
      </c>
      <c r="F227" s="9" t="s">
        <v>41</v>
      </c>
      <c r="G227" s="9" t="s">
        <v>63</v>
      </c>
      <c r="H227" s="9" t="s">
        <v>64</v>
      </c>
      <c r="I227" s="9" t="s">
        <v>42</v>
      </c>
      <c r="J227" s="9" t="s">
        <v>65</v>
      </c>
      <c r="K227" s="9" t="s">
        <v>1149</v>
      </c>
    </row>
    <row r="228" customFormat="false" ht="15" hidden="false" customHeight="false" outlineLevel="0" collapsed="false">
      <c r="A228" s="6" t="s">
        <v>1150</v>
      </c>
      <c r="B228" s="7" t="s">
        <v>1151</v>
      </c>
      <c r="C228" s="7" t="s">
        <v>1152</v>
      </c>
      <c r="D228" s="7" t="s">
        <v>1153</v>
      </c>
      <c r="E228" s="7" t="s">
        <v>40</v>
      </c>
      <c r="F228" s="7" t="s">
        <v>41</v>
      </c>
      <c r="G228" s="7" t="s">
        <v>48</v>
      </c>
      <c r="H228" s="7" t="s">
        <v>176</v>
      </c>
      <c r="I228" s="7" t="s">
        <v>42</v>
      </c>
      <c r="J228" s="7" t="s">
        <v>50</v>
      </c>
      <c r="K228" s="7" t="s">
        <v>1154</v>
      </c>
    </row>
    <row r="229" customFormat="false" ht="32.8" hidden="false" customHeight="false" outlineLevel="0" collapsed="false">
      <c r="A229" s="8" t="s">
        <v>1155</v>
      </c>
      <c r="B229" s="9" t="s">
        <v>1156</v>
      </c>
      <c r="C229" s="9" t="s">
        <v>1157</v>
      </c>
      <c r="D229" s="9" t="s">
        <v>1158</v>
      </c>
      <c r="E229" s="9" t="s">
        <v>40</v>
      </c>
      <c r="F229" s="9" t="s">
        <v>41</v>
      </c>
      <c r="G229" s="9" t="s">
        <v>48</v>
      </c>
      <c r="H229" s="9" t="s">
        <v>49</v>
      </c>
      <c r="I229" s="9" t="s">
        <v>98</v>
      </c>
      <c r="J229" s="9" t="s">
        <v>65</v>
      </c>
      <c r="K229" s="9" t="s">
        <v>1159</v>
      </c>
    </row>
    <row r="230" customFormat="false" ht="22.35" hidden="false" customHeight="false" outlineLevel="0" collapsed="false">
      <c r="A230" s="6" t="s">
        <v>1160</v>
      </c>
      <c r="B230" s="7" t="s">
        <v>1161</v>
      </c>
      <c r="C230" s="7" t="s">
        <v>1162</v>
      </c>
      <c r="D230" s="7" t="s">
        <v>1163</v>
      </c>
      <c r="E230" s="7" t="s">
        <v>40</v>
      </c>
      <c r="F230" s="7" t="s">
        <v>41</v>
      </c>
      <c r="G230" s="7" t="s">
        <v>63</v>
      </c>
      <c r="H230" s="7" t="s">
        <v>64</v>
      </c>
      <c r="I230" s="7" t="s">
        <v>42</v>
      </c>
      <c r="J230" s="7" t="s">
        <v>65</v>
      </c>
      <c r="K230" s="7" t="s">
        <v>1164</v>
      </c>
    </row>
    <row r="231" customFormat="false" ht="22.35" hidden="false" customHeight="false" outlineLevel="0" collapsed="false">
      <c r="A231" s="8" t="s">
        <v>1165</v>
      </c>
      <c r="B231" s="9" t="s">
        <v>1166</v>
      </c>
      <c r="C231" s="9" t="s">
        <v>89</v>
      </c>
      <c r="D231" s="9" t="s">
        <v>1163</v>
      </c>
      <c r="E231" s="9" t="s">
        <v>40</v>
      </c>
      <c r="F231" s="9" t="s">
        <v>41</v>
      </c>
      <c r="G231" s="9" t="s">
        <v>48</v>
      </c>
      <c r="H231" s="9" t="s">
        <v>49</v>
      </c>
      <c r="I231" s="9" t="s">
        <v>42</v>
      </c>
      <c r="J231" s="9" t="s">
        <v>57</v>
      </c>
      <c r="K231" s="9" t="s">
        <v>1167</v>
      </c>
    </row>
    <row r="232" customFormat="false" ht="22.35" hidden="false" customHeight="false" outlineLevel="0" collapsed="false">
      <c r="A232" s="6" t="s">
        <v>1168</v>
      </c>
      <c r="B232" s="7" t="s">
        <v>1169</v>
      </c>
      <c r="C232" s="7" t="s">
        <v>387</v>
      </c>
      <c r="D232" s="7" t="s">
        <v>1163</v>
      </c>
      <c r="E232" s="7" t="s">
        <v>77</v>
      </c>
      <c r="F232" s="7" t="s">
        <v>77</v>
      </c>
      <c r="G232" s="7" t="s">
        <v>48</v>
      </c>
      <c r="H232" s="7" t="s">
        <v>49</v>
      </c>
      <c r="I232" s="7" t="s">
        <v>42</v>
      </c>
      <c r="J232" s="7" t="s">
        <v>50</v>
      </c>
      <c r="K232" s="7" t="s">
        <v>1170</v>
      </c>
    </row>
    <row r="233" customFormat="false" ht="22.35" hidden="false" customHeight="false" outlineLevel="0" collapsed="false">
      <c r="A233" s="8" t="s">
        <v>1171</v>
      </c>
      <c r="B233" s="9" t="s">
        <v>1172</v>
      </c>
      <c r="C233" s="9" t="s">
        <v>647</v>
      </c>
      <c r="D233" s="9" t="s">
        <v>1163</v>
      </c>
      <c r="E233" s="9" t="s">
        <v>40</v>
      </c>
      <c r="F233" s="9" t="s">
        <v>41</v>
      </c>
      <c r="G233" s="9" t="s">
        <v>48</v>
      </c>
      <c r="H233" s="9" t="s">
        <v>112</v>
      </c>
      <c r="I233" s="9" t="s">
        <v>42</v>
      </c>
      <c r="J233" s="9" t="s">
        <v>99</v>
      </c>
      <c r="K233" s="9" t="s">
        <v>1173</v>
      </c>
    </row>
    <row r="234" customFormat="false" ht="15" hidden="false" customHeight="false" outlineLevel="0" collapsed="false">
      <c r="A234" s="6" t="s">
        <v>1174</v>
      </c>
      <c r="B234" s="7" t="s">
        <v>1175</v>
      </c>
      <c r="C234" s="7" t="s">
        <v>1176</v>
      </c>
      <c r="D234" s="7" t="s">
        <v>1163</v>
      </c>
      <c r="E234" s="7" t="s">
        <v>40</v>
      </c>
      <c r="F234" s="7" t="s">
        <v>41</v>
      </c>
      <c r="G234" s="7" t="s">
        <v>48</v>
      </c>
      <c r="H234" s="7" t="s">
        <v>49</v>
      </c>
      <c r="I234" s="7" t="s">
        <v>42</v>
      </c>
      <c r="J234" s="7" t="s">
        <v>57</v>
      </c>
      <c r="K234" s="7" t="s">
        <v>1177</v>
      </c>
    </row>
    <row r="235" customFormat="false" ht="15" hidden="false" customHeight="false" outlineLevel="0" collapsed="false">
      <c r="A235" s="8" t="s">
        <v>1178</v>
      </c>
      <c r="B235" s="9" t="s">
        <v>1179</v>
      </c>
      <c r="C235" s="9" t="s">
        <v>1180</v>
      </c>
      <c r="D235" s="9" t="s">
        <v>1181</v>
      </c>
      <c r="E235" s="9" t="s">
        <v>40</v>
      </c>
      <c r="F235" s="9" t="s">
        <v>41</v>
      </c>
      <c r="G235" s="9" t="s">
        <v>154</v>
      </c>
      <c r="H235" s="9" t="s">
        <v>1182</v>
      </c>
      <c r="I235" s="9" t="s">
        <v>285</v>
      </c>
      <c r="J235" s="9" t="s">
        <v>65</v>
      </c>
      <c r="K235" s="9" t="s">
        <v>1183</v>
      </c>
    </row>
    <row r="236" customFormat="false" ht="22.35" hidden="false" customHeight="false" outlineLevel="0" collapsed="false">
      <c r="A236" s="6" t="s">
        <v>1184</v>
      </c>
      <c r="B236" s="7" t="s">
        <v>1185</v>
      </c>
      <c r="C236" s="7" t="s">
        <v>1186</v>
      </c>
      <c r="D236" s="7" t="s">
        <v>1181</v>
      </c>
      <c r="E236" s="7" t="s">
        <v>40</v>
      </c>
      <c r="F236" s="7" t="s">
        <v>41</v>
      </c>
      <c r="G236" s="7" t="s">
        <v>48</v>
      </c>
      <c r="H236" s="7" t="s">
        <v>112</v>
      </c>
      <c r="I236" s="7" t="s">
        <v>42</v>
      </c>
      <c r="J236" s="7" t="s">
        <v>65</v>
      </c>
      <c r="K236" s="7" t="s">
        <v>1187</v>
      </c>
    </row>
    <row r="237" customFormat="false" ht="43.25" hidden="false" customHeight="false" outlineLevel="0" collapsed="false">
      <c r="A237" s="8" t="s">
        <v>1188</v>
      </c>
      <c r="B237" s="9" t="s">
        <v>1189</v>
      </c>
      <c r="C237" s="9" t="s">
        <v>1190</v>
      </c>
      <c r="D237" s="9" t="s">
        <v>1191</v>
      </c>
      <c r="E237" s="9" t="s">
        <v>217</v>
      </c>
      <c r="F237" s="9" t="s">
        <v>41</v>
      </c>
      <c r="G237" s="9" t="s">
        <v>48</v>
      </c>
      <c r="H237" s="9" t="s">
        <v>49</v>
      </c>
      <c r="I237" s="9" t="s">
        <v>98</v>
      </c>
      <c r="J237" s="9" t="s">
        <v>65</v>
      </c>
      <c r="K237" s="9" t="s">
        <v>1192</v>
      </c>
    </row>
    <row r="238" customFormat="false" ht="22.35" hidden="false" customHeight="false" outlineLevel="0" collapsed="false">
      <c r="A238" s="6" t="s">
        <v>1193</v>
      </c>
      <c r="B238" s="7" t="s">
        <v>1194</v>
      </c>
      <c r="C238" s="7" t="s">
        <v>1195</v>
      </c>
      <c r="D238" s="7" t="s">
        <v>1191</v>
      </c>
      <c r="E238" s="7" t="s">
        <v>40</v>
      </c>
      <c r="F238" s="7" t="s">
        <v>41</v>
      </c>
      <c r="G238" s="7" t="s">
        <v>55</v>
      </c>
      <c r="H238" s="7" t="s">
        <v>552</v>
      </c>
      <c r="I238" s="7" t="s">
        <v>42</v>
      </c>
      <c r="J238" s="7" t="s">
        <v>65</v>
      </c>
      <c r="K238" s="7" t="s">
        <v>1196</v>
      </c>
    </row>
    <row r="239" customFormat="false" ht="22.35" hidden="false" customHeight="false" outlineLevel="0" collapsed="false">
      <c r="A239" s="8" t="s">
        <v>1197</v>
      </c>
      <c r="B239" s="9" t="s">
        <v>1198</v>
      </c>
      <c r="C239" s="9" t="s">
        <v>1199</v>
      </c>
      <c r="D239" s="9" t="s">
        <v>1200</v>
      </c>
      <c r="E239" s="9" t="s">
        <v>40</v>
      </c>
      <c r="F239" s="9" t="s">
        <v>41</v>
      </c>
      <c r="G239" s="9" t="s">
        <v>48</v>
      </c>
      <c r="H239" s="9" t="s">
        <v>1201</v>
      </c>
      <c r="I239" s="9" t="s">
        <v>42</v>
      </c>
      <c r="J239" s="9" t="s">
        <v>50</v>
      </c>
      <c r="K239" s="9" t="s">
        <v>1202</v>
      </c>
    </row>
    <row r="240" customFormat="false" ht="22.35" hidden="false" customHeight="false" outlineLevel="0" collapsed="false">
      <c r="A240" s="6" t="s">
        <v>1203</v>
      </c>
      <c r="B240" s="7" t="s">
        <v>1204</v>
      </c>
      <c r="C240" s="7" t="s">
        <v>1205</v>
      </c>
      <c r="D240" s="7" t="s">
        <v>1200</v>
      </c>
      <c r="E240" s="7" t="s">
        <v>1206</v>
      </c>
      <c r="F240" s="7" t="s">
        <v>111</v>
      </c>
      <c r="G240" s="7" t="s">
        <v>48</v>
      </c>
      <c r="H240" s="7" t="s">
        <v>112</v>
      </c>
      <c r="I240" s="7" t="s">
        <v>42</v>
      </c>
      <c r="J240" s="7" t="s">
        <v>233</v>
      </c>
      <c r="K240" s="7" t="s">
        <v>1207</v>
      </c>
    </row>
    <row r="241" customFormat="false" ht="22.35" hidden="false" customHeight="false" outlineLevel="0" collapsed="false">
      <c r="A241" s="8" t="s">
        <v>1208</v>
      </c>
      <c r="B241" s="9" t="s">
        <v>1209</v>
      </c>
      <c r="C241" s="9" t="s">
        <v>1210</v>
      </c>
      <c r="D241" s="9" t="s">
        <v>1200</v>
      </c>
      <c r="E241" s="9" t="s">
        <v>40</v>
      </c>
      <c r="F241" s="9" t="s">
        <v>41</v>
      </c>
      <c r="G241" s="9" t="s">
        <v>48</v>
      </c>
      <c r="H241" s="9" t="s">
        <v>49</v>
      </c>
      <c r="I241" s="9" t="s">
        <v>42</v>
      </c>
      <c r="J241" s="9" t="s">
        <v>57</v>
      </c>
      <c r="K241" s="9" t="s">
        <v>1211</v>
      </c>
    </row>
    <row r="242" customFormat="false" ht="22.35" hidden="false" customHeight="false" outlineLevel="0" collapsed="false">
      <c r="A242" s="6" t="s">
        <v>1212</v>
      </c>
      <c r="B242" s="7" t="s">
        <v>1213</v>
      </c>
      <c r="C242" s="7" t="s">
        <v>1214</v>
      </c>
      <c r="D242" s="7" t="s">
        <v>1200</v>
      </c>
      <c r="E242" s="7" t="s">
        <v>40</v>
      </c>
      <c r="F242" s="7" t="s">
        <v>41</v>
      </c>
      <c r="G242" s="7" t="s">
        <v>48</v>
      </c>
      <c r="H242" s="7" t="s">
        <v>49</v>
      </c>
      <c r="I242" s="7" t="s">
        <v>42</v>
      </c>
      <c r="J242" s="7" t="s">
        <v>50</v>
      </c>
      <c r="K242" s="7" t="s">
        <v>1215</v>
      </c>
    </row>
    <row r="243" customFormat="false" ht="22.35" hidden="false" customHeight="false" outlineLevel="0" collapsed="false">
      <c r="A243" s="8" t="s">
        <v>1216</v>
      </c>
      <c r="B243" s="9" t="s">
        <v>1217</v>
      </c>
      <c r="C243" s="9" t="s">
        <v>1218</v>
      </c>
      <c r="D243" s="9" t="s">
        <v>1200</v>
      </c>
      <c r="E243" s="9" t="s">
        <v>40</v>
      </c>
      <c r="F243" s="9" t="s">
        <v>41</v>
      </c>
      <c r="G243" s="9" t="s">
        <v>48</v>
      </c>
      <c r="H243" s="9" t="s">
        <v>49</v>
      </c>
      <c r="I243" s="9" t="s">
        <v>42</v>
      </c>
      <c r="J243" s="9" t="s">
        <v>65</v>
      </c>
      <c r="K243" s="9" t="s">
        <v>1219</v>
      </c>
    </row>
    <row r="244" customFormat="false" ht="15" hidden="false" customHeight="false" outlineLevel="0" collapsed="false">
      <c r="A244" s="6" t="s">
        <v>1220</v>
      </c>
      <c r="B244" s="7" t="s">
        <v>1221</v>
      </c>
      <c r="C244" s="7" t="s">
        <v>1222</v>
      </c>
      <c r="D244" s="7" t="s">
        <v>1223</v>
      </c>
      <c r="E244" s="7" t="s">
        <v>415</v>
      </c>
      <c r="F244" s="7" t="s">
        <v>246</v>
      </c>
      <c r="G244" s="7" t="s">
        <v>55</v>
      </c>
      <c r="H244" s="7" t="s">
        <v>161</v>
      </c>
      <c r="I244" s="7" t="s">
        <v>98</v>
      </c>
      <c r="J244" s="7" t="s">
        <v>233</v>
      </c>
      <c r="K244" s="7" t="s">
        <v>1224</v>
      </c>
    </row>
    <row r="245" customFormat="false" ht="15" hidden="false" customHeight="false" outlineLevel="0" collapsed="false">
      <c r="A245" s="8" t="s">
        <v>1225</v>
      </c>
      <c r="B245" s="9" t="s">
        <v>1226</v>
      </c>
      <c r="C245" s="9" t="s">
        <v>1227</v>
      </c>
      <c r="D245" s="9" t="s">
        <v>1223</v>
      </c>
      <c r="E245" s="9" t="s">
        <v>77</v>
      </c>
      <c r="F245" s="9" t="s">
        <v>77</v>
      </c>
      <c r="G245" s="9" t="s">
        <v>48</v>
      </c>
      <c r="H245" s="9" t="s">
        <v>49</v>
      </c>
      <c r="I245" s="9" t="s">
        <v>42</v>
      </c>
      <c r="J245" s="9" t="s">
        <v>57</v>
      </c>
      <c r="K245" s="9" t="s">
        <v>1228</v>
      </c>
    </row>
    <row r="246" customFormat="false" ht="15" hidden="false" customHeight="false" outlineLevel="0" collapsed="false">
      <c r="A246" s="6" t="s">
        <v>1229</v>
      </c>
      <c r="B246" s="7" t="s">
        <v>1230</v>
      </c>
      <c r="C246" s="7" t="s">
        <v>1231</v>
      </c>
      <c r="D246" s="7" t="s">
        <v>1223</v>
      </c>
      <c r="E246" s="7" t="s">
        <v>40</v>
      </c>
      <c r="F246" s="7" t="s">
        <v>41</v>
      </c>
      <c r="G246" s="7" t="s">
        <v>48</v>
      </c>
      <c r="H246" s="7" t="s">
        <v>112</v>
      </c>
      <c r="I246" s="7" t="s">
        <v>42</v>
      </c>
      <c r="J246" s="7" t="s">
        <v>50</v>
      </c>
      <c r="K246" s="7" t="s">
        <v>1232</v>
      </c>
    </row>
    <row r="247" customFormat="false" ht="15" hidden="false" customHeight="false" outlineLevel="0" collapsed="false">
      <c r="A247" s="8" t="s">
        <v>1233</v>
      </c>
      <c r="B247" s="9" t="s">
        <v>1234</v>
      </c>
      <c r="C247" s="9" t="s">
        <v>1235</v>
      </c>
      <c r="D247" s="9" t="s">
        <v>1223</v>
      </c>
      <c r="E247" s="9" t="s">
        <v>77</v>
      </c>
      <c r="F247" s="9" t="s">
        <v>77</v>
      </c>
      <c r="G247" s="9" t="s">
        <v>48</v>
      </c>
      <c r="H247" s="9" t="s">
        <v>1201</v>
      </c>
      <c r="I247" s="9" t="s">
        <v>42</v>
      </c>
      <c r="J247" s="9" t="s">
        <v>57</v>
      </c>
      <c r="K247" s="9" t="s">
        <v>1236</v>
      </c>
    </row>
    <row r="248" customFormat="false" ht="15" hidden="false" customHeight="false" outlineLevel="0" collapsed="false">
      <c r="A248" s="6" t="s">
        <v>1067</v>
      </c>
      <c r="B248" s="7" t="s">
        <v>1237</v>
      </c>
      <c r="C248" s="7" t="s">
        <v>1238</v>
      </c>
      <c r="D248" s="7" t="s">
        <v>1223</v>
      </c>
      <c r="E248" s="7" t="s">
        <v>40</v>
      </c>
      <c r="F248" s="7" t="s">
        <v>41</v>
      </c>
      <c r="G248" s="7" t="s">
        <v>48</v>
      </c>
      <c r="H248" s="7" t="s">
        <v>49</v>
      </c>
      <c r="I248" s="7" t="s">
        <v>285</v>
      </c>
      <c r="J248" s="7" t="s">
        <v>50</v>
      </c>
      <c r="K248" s="7" t="s">
        <v>1239</v>
      </c>
    </row>
    <row r="249" customFormat="false" ht="22.35" hidden="false" customHeight="false" outlineLevel="0" collapsed="false">
      <c r="A249" s="8" t="s">
        <v>1240</v>
      </c>
      <c r="B249" s="9" t="s">
        <v>1241</v>
      </c>
      <c r="C249" s="9" t="s">
        <v>1242</v>
      </c>
      <c r="D249" s="9" t="s">
        <v>1243</v>
      </c>
      <c r="E249" s="9" t="s">
        <v>1040</v>
      </c>
      <c r="F249" s="9" t="s">
        <v>246</v>
      </c>
      <c r="G249" s="9" t="s">
        <v>48</v>
      </c>
      <c r="H249" s="9" t="s">
        <v>49</v>
      </c>
      <c r="I249" s="9" t="s">
        <v>42</v>
      </c>
      <c r="J249" s="9" t="s">
        <v>43</v>
      </c>
      <c r="K249" s="9" t="s">
        <v>1244</v>
      </c>
    </row>
    <row r="250" customFormat="false" ht="22.35" hidden="false" customHeight="false" outlineLevel="0" collapsed="false">
      <c r="A250" s="6" t="s">
        <v>1245</v>
      </c>
      <c r="B250" s="7" t="s">
        <v>1246</v>
      </c>
      <c r="C250" s="7" t="s">
        <v>1247</v>
      </c>
      <c r="D250" s="7" t="s">
        <v>1243</v>
      </c>
      <c r="E250" s="7" t="s">
        <v>40</v>
      </c>
      <c r="F250" s="7" t="s">
        <v>41</v>
      </c>
      <c r="G250" s="7" t="s">
        <v>222</v>
      </c>
      <c r="H250" s="7" t="s">
        <v>277</v>
      </c>
      <c r="I250" s="7" t="s">
        <v>42</v>
      </c>
      <c r="J250" s="7" t="s">
        <v>65</v>
      </c>
      <c r="K250" s="7" t="s">
        <v>1248</v>
      </c>
    </row>
    <row r="251" customFormat="false" ht="22.35" hidden="false" customHeight="false" outlineLevel="0" collapsed="false">
      <c r="A251" s="8" t="s">
        <v>1249</v>
      </c>
      <c r="B251" s="9" t="s">
        <v>1250</v>
      </c>
      <c r="C251" s="9" t="s">
        <v>1251</v>
      </c>
      <c r="D251" s="9" t="s">
        <v>1243</v>
      </c>
      <c r="E251" s="9" t="s">
        <v>40</v>
      </c>
      <c r="F251" s="9" t="s">
        <v>41</v>
      </c>
      <c r="G251" s="9" t="s">
        <v>48</v>
      </c>
      <c r="H251" s="9" t="s">
        <v>49</v>
      </c>
      <c r="I251" s="9" t="s">
        <v>42</v>
      </c>
      <c r="J251" s="9" t="s">
        <v>50</v>
      </c>
      <c r="K251" s="9" t="s">
        <v>1252</v>
      </c>
    </row>
    <row r="252" customFormat="false" ht="22.35" hidden="false" customHeight="false" outlineLevel="0" collapsed="false">
      <c r="A252" s="6" t="s">
        <v>1253</v>
      </c>
      <c r="B252" s="7" t="s">
        <v>1254</v>
      </c>
      <c r="C252" s="7" t="s">
        <v>1255</v>
      </c>
      <c r="D252" s="7" t="s">
        <v>1243</v>
      </c>
      <c r="E252" s="7" t="s">
        <v>40</v>
      </c>
      <c r="F252" s="7" t="s">
        <v>41</v>
      </c>
      <c r="G252" s="7" t="s">
        <v>55</v>
      </c>
      <c r="H252" s="7" t="s">
        <v>265</v>
      </c>
      <c r="I252" s="7" t="s">
        <v>42</v>
      </c>
      <c r="J252" s="7" t="s">
        <v>50</v>
      </c>
      <c r="K252" s="7" t="s">
        <v>1256</v>
      </c>
    </row>
    <row r="253" customFormat="false" ht="22.35" hidden="false" customHeight="false" outlineLevel="0" collapsed="false">
      <c r="A253" s="8" t="s">
        <v>1257</v>
      </c>
      <c r="B253" s="9" t="s">
        <v>1258</v>
      </c>
      <c r="C253" s="9" t="s">
        <v>85</v>
      </c>
      <c r="D253" s="9" t="s">
        <v>1243</v>
      </c>
      <c r="E253" s="9" t="s">
        <v>77</v>
      </c>
      <c r="F253" s="9" t="s">
        <v>77</v>
      </c>
      <c r="G253" s="9" t="s">
        <v>48</v>
      </c>
      <c r="H253" s="9" t="s">
        <v>49</v>
      </c>
      <c r="I253" s="9" t="s">
        <v>42</v>
      </c>
      <c r="J253" s="9" t="s">
        <v>50</v>
      </c>
      <c r="K253" s="9" t="s">
        <v>1259</v>
      </c>
    </row>
    <row r="254" customFormat="false" ht="22.35" hidden="false" customHeight="false" outlineLevel="0" collapsed="false">
      <c r="A254" s="6" t="s">
        <v>1260</v>
      </c>
      <c r="B254" s="7" t="s">
        <v>1261</v>
      </c>
      <c r="C254" s="7" t="s">
        <v>1262</v>
      </c>
      <c r="D254" s="7" t="s">
        <v>1263</v>
      </c>
      <c r="E254" s="7" t="s">
        <v>40</v>
      </c>
      <c r="F254" s="7" t="s">
        <v>41</v>
      </c>
      <c r="G254" s="7" t="s">
        <v>55</v>
      </c>
      <c r="H254" s="7" t="s">
        <v>290</v>
      </c>
      <c r="I254" s="7" t="s">
        <v>1098</v>
      </c>
      <c r="J254" s="7" t="s">
        <v>65</v>
      </c>
      <c r="K254" s="7" t="s">
        <v>1264</v>
      </c>
    </row>
    <row r="255" customFormat="false" ht="15" hidden="false" customHeight="false" outlineLevel="0" collapsed="false">
      <c r="A255" s="8" t="s">
        <v>1265</v>
      </c>
      <c r="B255" s="9" t="s">
        <v>1266</v>
      </c>
      <c r="C255" s="9" t="s">
        <v>1267</v>
      </c>
      <c r="D255" s="9" t="s">
        <v>1268</v>
      </c>
      <c r="E255" s="9" t="s">
        <v>217</v>
      </c>
      <c r="F255" s="9" t="s">
        <v>41</v>
      </c>
      <c r="G255" s="9" t="s">
        <v>48</v>
      </c>
      <c r="H255" s="9" t="s">
        <v>49</v>
      </c>
      <c r="I255" s="9" t="s">
        <v>98</v>
      </c>
      <c r="J255" s="9" t="s">
        <v>99</v>
      </c>
      <c r="K255" s="9" t="s">
        <v>1269</v>
      </c>
    </row>
    <row r="256" customFormat="false" ht="22.35" hidden="false" customHeight="false" outlineLevel="0" collapsed="false">
      <c r="A256" s="6" t="s">
        <v>1270</v>
      </c>
      <c r="B256" s="7" t="s">
        <v>1271</v>
      </c>
      <c r="C256" s="7" t="s">
        <v>1272</v>
      </c>
      <c r="D256" s="7" t="s">
        <v>1273</v>
      </c>
      <c r="E256" s="7" t="s">
        <v>40</v>
      </c>
      <c r="F256" s="7" t="s">
        <v>41</v>
      </c>
      <c r="G256" s="7" t="s">
        <v>96</v>
      </c>
      <c r="H256" s="7" t="s">
        <v>97</v>
      </c>
      <c r="I256" s="7" t="s">
        <v>622</v>
      </c>
      <c r="J256" s="7" t="s">
        <v>233</v>
      </c>
      <c r="K256" s="7" t="s">
        <v>1274</v>
      </c>
    </row>
    <row r="257" customFormat="false" ht="22.35" hidden="false" customHeight="false" outlineLevel="0" collapsed="false">
      <c r="A257" s="8" t="s">
        <v>1275</v>
      </c>
      <c r="B257" s="9" t="s">
        <v>1276</v>
      </c>
      <c r="C257" s="9" t="s">
        <v>1277</v>
      </c>
      <c r="D257" s="9" t="s">
        <v>1273</v>
      </c>
      <c r="E257" s="9" t="s">
        <v>40</v>
      </c>
      <c r="F257" s="9" t="s">
        <v>41</v>
      </c>
      <c r="G257" s="9" t="s">
        <v>55</v>
      </c>
      <c r="H257" s="9" t="s">
        <v>56</v>
      </c>
      <c r="I257" s="9" t="s">
        <v>622</v>
      </c>
      <c r="J257" s="9" t="s">
        <v>233</v>
      </c>
      <c r="K257" s="9" t="s">
        <v>1278</v>
      </c>
    </row>
    <row r="258" customFormat="false" ht="15" hidden="false" customHeight="false" outlineLevel="0" collapsed="false">
      <c r="A258" s="6" t="s">
        <v>1279</v>
      </c>
      <c r="B258" s="7" t="s">
        <v>1280</v>
      </c>
      <c r="C258" s="7" t="s">
        <v>1281</v>
      </c>
      <c r="D258" s="7" t="s">
        <v>1282</v>
      </c>
      <c r="E258" s="7" t="s">
        <v>40</v>
      </c>
      <c r="F258" s="7" t="s">
        <v>41</v>
      </c>
      <c r="G258" s="7" t="s">
        <v>63</v>
      </c>
      <c r="H258" s="7" t="s">
        <v>64</v>
      </c>
      <c r="I258" s="7" t="s">
        <v>42</v>
      </c>
      <c r="J258" s="7" t="s">
        <v>50</v>
      </c>
      <c r="K258" s="7" t="s">
        <v>1283</v>
      </c>
    </row>
    <row r="259" customFormat="false" ht="22.35" hidden="false" customHeight="false" outlineLevel="0" collapsed="false">
      <c r="A259" s="8" t="s">
        <v>1284</v>
      </c>
      <c r="B259" s="9" t="s">
        <v>1285</v>
      </c>
      <c r="C259" s="9" t="s">
        <v>1286</v>
      </c>
      <c r="D259" s="9" t="s">
        <v>1282</v>
      </c>
      <c r="E259" s="9" t="s">
        <v>562</v>
      </c>
      <c r="F259" s="9" t="s">
        <v>246</v>
      </c>
      <c r="G259" s="9" t="s">
        <v>48</v>
      </c>
      <c r="H259" s="9" t="s">
        <v>49</v>
      </c>
      <c r="I259" s="9" t="s">
        <v>42</v>
      </c>
      <c r="J259" s="9" t="s">
        <v>50</v>
      </c>
      <c r="K259" s="9" t="s">
        <v>1287</v>
      </c>
    </row>
    <row r="260" customFormat="false" ht="22.35" hidden="false" customHeight="false" outlineLevel="0" collapsed="false">
      <c r="A260" s="6" t="s">
        <v>1288</v>
      </c>
      <c r="B260" s="7" t="s">
        <v>1289</v>
      </c>
      <c r="C260" s="7" t="s">
        <v>1290</v>
      </c>
      <c r="D260" s="7" t="s">
        <v>1282</v>
      </c>
      <c r="E260" s="7" t="s">
        <v>40</v>
      </c>
      <c r="F260" s="7" t="s">
        <v>41</v>
      </c>
      <c r="G260" s="7" t="s">
        <v>48</v>
      </c>
      <c r="H260" s="7" t="s">
        <v>49</v>
      </c>
      <c r="I260" s="7" t="s">
        <v>42</v>
      </c>
      <c r="J260" s="7" t="s">
        <v>43</v>
      </c>
      <c r="K260" s="7" t="s">
        <v>1291</v>
      </c>
    </row>
    <row r="261" customFormat="false" ht="22.35" hidden="false" customHeight="false" outlineLevel="0" collapsed="false">
      <c r="A261" s="8" t="s">
        <v>1292</v>
      </c>
      <c r="B261" s="9" t="s">
        <v>1293</v>
      </c>
      <c r="C261" s="9" t="s">
        <v>1294</v>
      </c>
      <c r="D261" s="9" t="s">
        <v>1282</v>
      </c>
      <c r="E261" s="9" t="s">
        <v>40</v>
      </c>
      <c r="F261" s="9" t="s">
        <v>41</v>
      </c>
      <c r="G261" s="9" t="s">
        <v>222</v>
      </c>
      <c r="H261" s="9" t="s">
        <v>223</v>
      </c>
      <c r="I261" s="9" t="s">
        <v>42</v>
      </c>
      <c r="J261" s="9" t="s">
        <v>65</v>
      </c>
      <c r="K261" s="9" t="s">
        <v>1295</v>
      </c>
    </row>
    <row r="262" customFormat="false" ht="15" hidden="false" customHeight="false" outlineLevel="0" collapsed="false">
      <c r="A262" s="6" t="s">
        <v>1296</v>
      </c>
      <c r="B262" s="7" t="s">
        <v>1297</v>
      </c>
      <c r="C262" s="7" t="s">
        <v>1298</v>
      </c>
      <c r="D262" s="7" t="s">
        <v>1299</v>
      </c>
      <c r="E262" s="7" t="s">
        <v>40</v>
      </c>
      <c r="F262" s="7" t="s">
        <v>41</v>
      </c>
      <c r="G262" s="7" t="s">
        <v>48</v>
      </c>
      <c r="H262" s="7" t="s">
        <v>49</v>
      </c>
      <c r="I262" s="7" t="s">
        <v>285</v>
      </c>
      <c r="J262" s="7" t="s">
        <v>99</v>
      </c>
      <c r="K262" s="7" t="s">
        <v>1300</v>
      </c>
    </row>
    <row r="263" customFormat="false" ht="15" hidden="false" customHeight="false" outlineLevel="0" collapsed="false">
      <c r="A263" s="8" t="s">
        <v>1301</v>
      </c>
      <c r="B263" s="9" t="s">
        <v>1302</v>
      </c>
      <c r="C263" s="9" t="s">
        <v>1303</v>
      </c>
      <c r="D263" s="9" t="s">
        <v>1304</v>
      </c>
      <c r="E263" s="9" t="s">
        <v>95</v>
      </c>
      <c r="F263" s="9" t="s">
        <v>95</v>
      </c>
      <c r="G263" s="9" t="s">
        <v>55</v>
      </c>
      <c r="H263" s="9" t="s">
        <v>232</v>
      </c>
      <c r="I263" s="9" t="s">
        <v>285</v>
      </c>
      <c r="J263" s="9" t="s">
        <v>233</v>
      </c>
      <c r="K263" s="9" t="s">
        <v>1305</v>
      </c>
    </row>
    <row r="264" customFormat="false" ht="22.35" hidden="false" customHeight="false" outlineLevel="0" collapsed="false">
      <c r="A264" s="6" t="s">
        <v>1306</v>
      </c>
      <c r="B264" s="7" t="s">
        <v>1307</v>
      </c>
      <c r="C264" s="7" t="s">
        <v>574</v>
      </c>
      <c r="D264" s="7" t="s">
        <v>1308</v>
      </c>
      <c r="E264" s="7" t="s">
        <v>415</v>
      </c>
      <c r="F264" s="7" t="s">
        <v>246</v>
      </c>
      <c r="G264" s="7" t="s">
        <v>154</v>
      </c>
      <c r="H264" s="7" t="s">
        <v>155</v>
      </c>
      <c r="I264" s="7" t="s">
        <v>285</v>
      </c>
      <c r="J264" s="7" t="s">
        <v>233</v>
      </c>
      <c r="K264" s="7" t="s">
        <v>1309</v>
      </c>
    </row>
    <row r="265" customFormat="false" ht="22.35" hidden="false" customHeight="false" outlineLevel="0" collapsed="false">
      <c r="A265" s="8" t="s">
        <v>1310</v>
      </c>
      <c r="B265" s="9" t="s">
        <v>1311</v>
      </c>
      <c r="C265" s="9" t="s">
        <v>1312</v>
      </c>
      <c r="D265" s="9" t="s">
        <v>1313</v>
      </c>
      <c r="E265" s="9" t="s">
        <v>40</v>
      </c>
      <c r="F265" s="9" t="s">
        <v>41</v>
      </c>
      <c r="G265" s="9" t="s">
        <v>48</v>
      </c>
      <c r="H265" s="9" t="s">
        <v>49</v>
      </c>
      <c r="I265" s="9" t="s">
        <v>42</v>
      </c>
      <c r="J265" s="9" t="s">
        <v>117</v>
      </c>
      <c r="K265" s="9" t="s">
        <v>1314</v>
      </c>
    </row>
    <row r="266" customFormat="false" ht="22.35" hidden="false" customHeight="false" outlineLevel="0" collapsed="false">
      <c r="A266" s="6" t="s">
        <v>1315</v>
      </c>
      <c r="B266" s="7" t="s">
        <v>1316</v>
      </c>
      <c r="C266" s="7" t="s">
        <v>1317</v>
      </c>
      <c r="D266" s="7" t="s">
        <v>1313</v>
      </c>
      <c r="E266" s="7" t="s">
        <v>40</v>
      </c>
      <c r="F266" s="7" t="s">
        <v>41</v>
      </c>
      <c r="G266" s="7" t="s">
        <v>48</v>
      </c>
      <c r="H266" s="7" t="s">
        <v>112</v>
      </c>
      <c r="I266" s="7" t="s">
        <v>42</v>
      </c>
      <c r="J266" s="7" t="s">
        <v>57</v>
      </c>
      <c r="K266" s="7" t="s">
        <v>1318</v>
      </c>
    </row>
    <row r="267" customFormat="false" ht="15" hidden="false" customHeight="false" outlineLevel="0" collapsed="false">
      <c r="A267" s="8" t="s">
        <v>1319</v>
      </c>
      <c r="B267" s="9" t="s">
        <v>1320</v>
      </c>
      <c r="C267" s="9" t="s">
        <v>1321</v>
      </c>
      <c r="D267" s="9" t="s">
        <v>1313</v>
      </c>
      <c r="E267" s="9" t="s">
        <v>40</v>
      </c>
      <c r="F267" s="9" t="s">
        <v>41</v>
      </c>
      <c r="G267" s="9" t="s">
        <v>55</v>
      </c>
      <c r="H267" s="9" t="s">
        <v>199</v>
      </c>
      <c r="I267" s="9" t="s">
        <v>42</v>
      </c>
      <c r="J267" s="9" t="s">
        <v>50</v>
      </c>
      <c r="K267" s="9" t="s">
        <v>1322</v>
      </c>
    </row>
    <row r="268" customFormat="false" ht="22.35" hidden="false" customHeight="false" outlineLevel="0" collapsed="false">
      <c r="A268" s="6" t="s">
        <v>1323</v>
      </c>
      <c r="B268" s="7" t="s">
        <v>1324</v>
      </c>
      <c r="C268" s="7" t="s">
        <v>1325</v>
      </c>
      <c r="D268" s="7" t="s">
        <v>1313</v>
      </c>
      <c r="E268" s="7" t="s">
        <v>77</v>
      </c>
      <c r="F268" s="7" t="s">
        <v>77</v>
      </c>
      <c r="G268" s="7" t="s">
        <v>48</v>
      </c>
      <c r="H268" s="7" t="s">
        <v>49</v>
      </c>
      <c r="I268" s="7" t="s">
        <v>42</v>
      </c>
      <c r="J268" s="7" t="s">
        <v>57</v>
      </c>
      <c r="K268" s="7" t="s">
        <v>1326</v>
      </c>
    </row>
    <row r="269" customFormat="false" ht="22.35" hidden="false" customHeight="false" outlineLevel="0" collapsed="false">
      <c r="A269" s="8" t="s">
        <v>1327</v>
      </c>
      <c r="B269" s="9" t="s">
        <v>1328</v>
      </c>
      <c r="C269" s="9" t="s">
        <v>1329</v>
      </c>
      <c r="D269" s="9" t="s">
        <v>1330</v>
      </c>
      <c r="E269" s="9" t="s">
        <v>40</v>
      </c>
      <c r="F269" s="9" t="s">
        <v>41</v>
      </c>
      <c r="G269" s="9" t="s">
        <v>55</v>
      </c>
      <c r="H269" s="9" t="s">
        <v>506</v>
      </c>
      <c r="I269" s="9" t="s">
        <v>622</v>
      </c>
      <c r="J269" s="9" t="s">
        <v>233</v>
      </c>
      <c r="K269" s="9" t="s">
        <v>1331</v>
      </c>
    </row>
    <row r="270" customFormat="false" ht="15" hidden="false" customHeight="false" outlineLevel="0" collapsed="false">
      <c r="A270" s="6" t="s">
        <v>1332</v>
      </c>
      <c r="B270" s="7" t="s">
        <v>1333</v>
      </c>
      <c r="C270" s="7" t="s">
        <v>1334</v>
      </c>
      <c r="D270" s="7" t="s">
        <v>1335</v>
      </c>
      <c r="E270" s="7" t="s">
        <v>217</v>
      </c>
      <c r="F270" s="7" t="s">
        <v>41</v>
      </c>
      <c r="G270" s="7" t="s">
        <v>55</v>
      </c>
      <c r="H270" s="7" t="s">
        <v>563</v>
      </c>
      <c r="I270" s="7" t="s">
        <v>42</v>
      </c>
      <c r="J270" s="7" t="s">
        <v>233</v>
      </c>
      <c r="K270" s="7" t="s">
        <v>1336</v>
      </c>
    </row>
    <row r="271" customFormat="false" ht="22.35" hidden="false" customHeight="false" outlineLevel="0" collapsed="false">
      <c r="A271" s="8" t="s">
        <v>1337</v>
      </c>
      <c r="B271" s="9" t="s">
        <v>1338</v>
      </c>
      <c r="C271" s="9" t="s">
        <v>666</v>
      </c>
      <c r="D271" s="9" t="s">
        <v>1339</v>
      </c>
      <c r="E271" s="9" t="s">
        <v>77</v>
      </c>
      <c r="F271" s="9" t="s">
        <v>77</v>
      </c>
      <c r="G271" s="9" t="s">
        <v>63</v>
      </c>
      <c r="H271" s="9" t="s">
        <v>64</v>
      </c>
      <c r="I271" s="9" t="s">
        <v>1340</v>
      </c>
      <c r="J271" s="9" t="s">
        <v>65</v>
      </c>
      <c r="K271" s="9" t="s">
        <v>1341</v>
      </c>
    </row>
    <row r="272" customFormat="false" ht="15" hidden="false" customHeight="false" outlineLevel="0" collapsed="false">
      <c r="A272" s="6" t="s">
        <v>1342</v>
      </c>
      <c r="B272" s="7" t="s">
        <v>1343</v>
      </c>
      <c r="C272" s="7" t="s">
        <v>1010</v>
      </c>
      <c r="D272" s="7" t="s">
        <v>1344</v>
      </c>
      <c r="E272" s="7" t="s">
        <v>77</v>
      </c>
      <c r="F272" s="7" t="s">
        <v>77</v>
      </c>
      <c r="G272" s="7" t="s">
        <v>48</v>
      </c>
      <c r="H272" s="7" t="s">
        <v>49</v>
      </c>
      <c r="I272" s="7" t="s">
        <v>581</v>
      </c>
      <c r="J272" s="7" t="s">
        <v>117</v>
      </c>
      <c r="K272" s="7" t="s">
        <v>1345</v>
      </c>
    </row>
    <row r="273" customFormat="false" ht="22.35" hidden="false" customHeight="false" outlineLevel="0" collapsed="false">
      <c r="A273" s="8" t="s">
        <v>1346</v>
      </c>
      <c r="B273" s="9" t="s">
        <v>1347</v>
      </c>
      <c r="C273" s="9" t="s">
        <v>1348</v>
      </c>
      <c r="D273" s="9" t="s">
        <v>1344</v>
      </c>
      <c r="E273" s="9" t="s">
        <v>1040</v>
      </c>
      <c r="F273" s="9" t="s">
        <v>246</v>
      </c>
      <c r="G273" s="9" t="s">
        <v>48</v>
      </c>
      <c r="H273" s="9" t="s">
        <v>112</v>
      </c>
      <c r="I273" s="9" t="s">
        <v>581</v>
      </c>
      <c r="J273" s="9" t="s">
        <v>65</v>
      </c>
      <c r="K273" s="9" t="s">
        <v>1349</v>
      </c>
    </row>
    <row r="274" customFormat="false" ht="15" hidden="false" customHeight="false" outlineLevel="0" collapsed="false">
      <c r="A274" s="6" t="s">
        <v>1350</v>
      </c>
      <c r="B274" s="7" t="s">
        <v>1351</v>
      </c>
      <c r="C274" s="7" t="s">
        <v>1352</v>
      </c>
      <c r="D274" s="7" t="s">
        <v>1353</v>
      </c>
      <c r="E274" s="7" t="s">
        <v>95</v>
      </c>
      <c r="F274" s="7" t="s">
        <v>95</v>
      </c>
      <c r="G274" s="7" t="s">
        <v>48</v>
      </c>
      <c r="H274" s="7" t="s">
        <v>49</v>
      </c>
      <c r="I274" s="7" t="s">
        <v>98</v>
      </c>
      <c r="J274" s="7" t="s">
        <v>233</v>
      </c>
      <c r="K274" s="7" t="s">
        <v>1354</v>
      </c>
    </row>
    <row r="275" customFormat="false" ht="22.35" hidden="false" customHeight="false" outlineLevel="0" collapsed="false">
      <c r="A275" s="8" t="s">
        <v>1355</v>
      </c>
      <c r="B275" s="9" t="s">
        <v>1356</v>
      </c>
      <c r="C275" s="9" t="s">
        <v>767</v>
      </c>
      <c r="D275" s="9" t="s">
        <v>1353</v>
      </c>
      <c r="E275" s="9" t="s">
        <v>217</v>
      </c>
      <c r="F275" s="9" t="s">
        <v>41</v>
      </c>
      <c r="G275" s="9" t="s">
        <v>48</v>
      </c>
      <c r="H275" s="9" t="s">
        <v>49</v>
      </c>
      <c r="I275" s="9" t="s">
        <v>285</v>
      </c>
      <c r="J275" s="9" t="s">
        <v>233</v>
      </c>
      <c r="K275" s="9" t="s">
        <v>1357</v>
      </c>
    </row>
    <row r="276" customFormat="false" ht="22.35" hidden="false" customHeight="false" outlineLevel="0" collapsed="false">
      <c r="A276" s="6" t="s">
        <v>1358</v>
      </c>
      <c r="B276" s="7" t="s">
        <v>1359</v>
      </c>
      <c r="C276" s="7" t="s">
        <v>1360</v>
      </c>
      <c r="D276" s="7" t="s">
        <v>1361</v>
      </c>
      <c r="E276" s="7" t="s">
        <v>40</v>
      </c>
      <c r="F276" s="7" t="s">
        <v>41</v>
      </c>
      <c r="G276" s="7" t="s">
        <v>55</v>
      </c>
      <c r="H276" s="7" t="s">
        <v>290</v>
      </c>
      <c r="I276" s="7" t="s">
        <v>42</v>
      </c>
      <c r="J276" s="7" t="s">
        <v>50</v>
      </c>
      <c r="K276" s="7" t="s">
        <v>1362</v>
      </c>
    </row>
    <row r="277" customFormat="false" ht="15" hidden="false" customHeight="false" outlineLevel="0" collapsed="false">
      <c r="A277" s="8" t="s">
        <v>1363</v>
      </c>
      <c r="B277" s="9" t="s">
        <v>1364</v>
      </c>
      <c r="C277" s="9" t="s">
        <v>1365</v>
      </c>
      <c r="D277" s="9" t="s">
        <v>1361</v>
      </c>
      <c r="E277" s="9" t="s">
        <v>40</v>
      </c>
      <c r="F277" s="9" t="s">
        <v>41</v>
      </c>
      <c r="G277" s="9" t="s">
        <v>48</v>
      </c>
      <c r="H277" s="9" t="s">
        <v>49</v>
      </c>
      <c r="I277" s="9" t="s">
        <v>42</v>
      </c>
      <c r="J277" s="9" t="s">
        <v>57</v>
      </c>
      <c r="K277" s="9" t="s">
        <v>1366</v>
      </c>
    </row>
    <row r="278" customFormat="false" ht="15" hidden="false" customHeight="false" outlineLevel="0" collapsed="false">
      <c r="A278" s="6" t="s">
        <v>1367</v>
      </c>
      <c r="B278" s="7" t="s">
        <v>1368</v>
      </c>
      <c r="C278" s="7" t="s">
        <v>1369</v>
      </c>
      <c r="D278" s="7" t="s">
        <v>1361</v>
      </c>
      <c r="E278" s="7" t="s">
        <v>40</v>
      </c>
      <c r="F278" s="7" t="s">
        <v>41</v>
      </c>
      <c r="G278" s="7" t="s">
        <v>48</v>
      </c>
      <c r="H278" s="7" t="s">
        <v>49</v>
      </c>
      <c r="I278" s="7" t="s">
        <v>42</v>
      </c>
      <c r="J278" s="7" t="s">
        <v>57</v>
      </c>
      <c r="K278" s="7" t="s">
        <v>1370</v>
      </c>
    </row>
    <row r="279" customFormat="false" ht="22.35" hidden="false" customHeight="false" outlineLevel="0" collapsed="false">
      <c r="A279" s="8" t="s">
        <v>1371</v>
      </c>
      <c r="B279" s="9" t="s">
        <v>1372</v>
      </c>
      <c r="C279" s="9" t="s">
        <v>1373</v>
      </c>
      <c r="D279" s="9" t="s">
        <v>1361</v>
      </c>
      <c r="E279" s="9" t="s">
        <v>217</v>
      </c>
      <c r="F279" s="9" t="s">
        <v>41</v>
      </c>
      <c r="G279" s="9" t="s">
        <v>48</v>
      </c>
      <c r="H279" s="9" t="s">
        <v>112</v>
      </c>
      <c r="I279" s="9" t="s">
        <v>42</v>
      </c>
      <c r="J279" s="9" t="s">
        <v>233</v>
      </c>
      <c r="K279" s="9" t="s">
        <v>1374</v>
      </c>
    </row>
    <row r="280" customFormat="false" ht="22.35" hidden="false" customHeight="false" outlineLevel="0" collapsed="false">
      <c r="A280" s="6" t="s">
        <v>1375</v>
      </c>
      <c r="B280" s="7" t="s">
        <v>1376</v>
      </c>
      <c r="C280" s="7" t="s">
        <v>1377</v>
      </c>
      <c r="D280" s="7" t="s">
        <v>1361</v>
      </c>
      <c r="E280" s="7" t="s">
        <v>40</v>
      </c>
      <c r="F280" s="7" t="s">
        <v>41</v>
      </c>
      <c r="G280" s="7" t="s">
        <v>48</v>
      </c>
      <c r="H280" s="7" t="s">
        <v>176</v>
      </c>
      <c r="I280" s="7" t="s">
        <v>42</v>
      </c>
      <c r="J280" s="7" t="s">
        <v>43</v>
      </c>
      <c r="K280" s="7" t="s">
        <v>1378</v>
      </c>
    </row>
    <row r="281" customFormat="false" ht="22.35" hidden="false" customHeight="false" outlineLevel="0" collapsed="false">
      <c r="A281" s="8" t="s">
        <v>1379</v>
      </c>
      <c r="B281" s="9" t="s">
        <v>1380</v>
      </c>
      <c r="C281" s="9" t="s">
        <v>626</v>
      </c>
      <c r="D281" s="9" t="s">
        <v>1361</v>
      </c>
      <c r="E281" s="9" t="s">
        <v>77</v>
      </c>
      <c r="F281" s="9" t="s">
        <v>77</v>
      </c>
      <c r="G281" s="9" t="s">
        <v>48</v>
      </c>
      <c r="H281" s="9" t="s">
        <v>49</v>
      </c>
      <c r="I281" s="9" t="s">
        <v>42</v>
      </c>
      <c r="J281" s="9" t="s">
        <v>43</v>
      </c>
      <c r="K281" s="9" t="s">
        <v>1381</v>
      </c>
    </row>
    <row r="282" customFormat="false" ht="22.35" hidden="false" customHeight="false" outlineLevel="0" collapsed="false">
      <c r="A282" s="6" t="s">
        <v>1382</v>
      </c>
      <c r="B282" s="7" t="s">
        <v>1383</v>
      </c>
      <c r="C282" s="7" t="s">
        <v>1384</v>
      </c>
      <c r="D282" s="7" t="s">
        <v>1385</v>
      </c>
      <c r="E282" s="7" t="s">
        <v>217</v>
      </c>
      <c r="F282" s="7" t="s">
        <v>41</v>
      </c>
      <c r="G282" s="7" t="s">
        <v>48</v>
      </c>
      <c r="H282" s="7" t="s">
        <v>49</v>
      </c>
      <c r="I282" s="7" t="s">
        <v>42</v>
      </c>
      <c r="J282" s="7" t="s">
        <v>65</v>
      </c>
      <c r="K282" s="7" t="s">
        <v>1386</v>
      </c>
    </row>
    <row r="283" customFormat="false" ht="15" hidden="false" customHeight="false" outlineLevel="0" collapsed="false">
      <c r="A283" s="8" t="s">
        <v>1387</v>
      </c>
      <c r="B283" s="9" t="s">
        <v>1388</v>
      </c>
      <c r="C283" s="9" t="s">
        <v>1389</v>
      </c>
      <c r="D283" s="9" t="s">
        <v>1390</v>
      </c>
      <c r="E283" s="9" t="s">
        <v>40</v>
      </c>
      <c r="F283" s="9" t="s">
        <v>41</v>
      </c>
      <c r="G283" s="9" t="s">
        <v>48</v>
      </c>
      <c r="H283" s="9" t="s">
        <v>112</v>
      </c>
      <c r="I283" s="9" t="s">
        <v>42</v>
      </c>
      <c r="J283" s="9" t="s">
        <v>117</v>
      </c>
      <c r="K283" s="9" t="s">
        <v>1391</v>
      </c>
    </row>
    <row r="284" customFormat="false" ht="22.35" hidden="false" customHeight="false" outlineLevel="0" collapsed="false">
      <c r="A284" s="6" t="s">
        <v>1392</v>
      </c>
      <c r="B284" s="7" t="s">
        <v>1393</v>
      </c>
      <c r="C284" s="7" t="s">
        <v>1394</v>
      </c>
      <c r="D284" s="7" t="s">
        <v>1390</v>
      </c>
      <c r="E284" s="7" t="s">
        <v>40</v>
      </c>
      <c r="F284" s="7" t="s">
        <v>41</v>
      </c>
      <c r="G284" s="7" t="s">
        <v>48</v>
      </c>
      <c r="H284" s="7" t="s">
        <v>49</v>
      </c>
      <c r="I284" s="7" t="s">
        <v>42</v>
      </c>
      <c r="J284" s="7" t="s">
        <v>50</v>
      </c>
      <c r="K284" s="7" t="s">
        <v>1395</v>
      </c>
    </row>
    <row r="285" customFormat="false" ht="15" hidden="false" customHeight="false" outlineLevel="0" collapsed="false">
      <c r="A285" s="8" t="s">
        <v>1396</v>
      </c>
      <c r="B285" s="9" t="s">
        <v>1397</v>
      </c>
      <c r="C285" s="9" t="s">
        <v>1398</v>
      </c>
      <c r="D285" s="9" t="s">
        <v>1390</v>
      </c>
      <c r="E285" s="9" t="s">
        <v>40</v>
      </c>
      <c r="F285" s="9" t="s">
        <v>41</v>
      </c>
      <c r="G285" s="9" t="s">
        <v>48</v>
      </c>
      <c r="H285" s="9" t="s">
        <v>49</v>
      </c>
      <c r="I285" s="9" t="s">
        <v>98</v>
      </c>
      <c r="J285" s="9" t="s">
        <v>233</v>
      </c>
      <c r="K285" s="9" t="s">
        <v>1399</v>
      </c>
    </row>
    <row r="286" customFormat="false" ht="22.35" hidden="false" customHeight="false" outlineLevel="0" collapsed="false">
      <c r="A286" s="6" t="s">
        <v>1400</v>
      </c>
      <c r="B286" s="7" t="s">
        <v>1401</v>
      </c>
      <c r="C286" s="7" t="s">
        <v>1402</v>
      </c>
      <c r="D286" s="7" t="s">
        <v>1390</v>
      </c>
      <c r="E286" s="7" t="s">
        <v>217</v>
      </c>
      <c r="F286" s="7" t="s">
        <v>41</v>
      </c>
      <c r="G286" s="7" t="s">
        <v>55</v>
      </c>
      <c r="H286" s="7" t="s">
        <v>199</v>
      </c>
      <c r="I286" s="7" t="s">
        <v>285</v>
      </c>
      <c r="J286" s="7" t="s">
        <v>50</v>
      </c>
      <c r="K286" s="7" t="s">
        <v>1403</v>
      </c>
    </row>
    <row r="287" customFormat="false" ht="15" hidden="false" customHeight="false" outlineLevel="0" collapsed="false">
      <c r="A287" s="8" t="s">
        <v>1404</v>
      </c>
      <c r="B287" s="9" t="s">
        <v>1405</v>
      </c>
      <c r="C287" s="9" t="s">
        <v>1406</v>
      </c>
      <c r="D287" s="9" t="s">
        <v>1390</v>
      </c>
      <c r="E287" s="9" t="s">
        <v>40</v>
      </c>
      <c r="F287" s="9" t="s">
        <v>41</v>
      </c>
      <c r="G287" s="9" t="s">
        <v>55</v>
      </c>
      <c r="H287" s="9" t="s">
        <v>56</v>
      </c>
      <c r="I287" s="9" t="s">
        <v>42</v>
      </c>
      <c r="J287" s="9" t="s">
        <v>57</v>
      </c>
      <c r="K287" s="9" t="s">
        <v>1407</v>
      </c>
    </row>
    <row r="288" customFormat="false" ht="15" hidden="false" customHeight="false" outlineLevel="0" collapsed="false">
      <c r="A288" s="6" t="s">
        <v>1408</v>
      </c>
      <c r="B288" s="7" t="s">
        <v>1409</v>
      </c>
      <c r="C288" s="7" t="s">
        <v>1410</v>
      </c>
      <c r="D288" s="7" t="s">
        <v>1390</v>
      </c>
      <c r="E288" s="7" t="s">
        <v>217</v>
      </c>
      <c r="F288" s="7" t="s">
        <v>41</v>
      </c>
      <c r="G288" s="7" t="s">
        <v>48</v>
      </c>
      <c r="H288" s="7" t="s">
        <v>176</v>
      </c>
      <c r="I288" s="7" t="s">
        <v>42</v>
      </c>
      <c r="J288" s="7" t="s">
        <v>233</v>
      </c>
      <c r="K288" s="7" t="s">
        <v>1411</v>
      </c>
    </row>
    <row r="289" customFormat="false" ht="22.35" hidden="false" customHeight="false" outlineLevel="0" collapsed="false">
      <c r="A289" s="8" t="s">
        <v>1412</v>
      </c>
      <c r="B289" s="9" t="s">
        <v>1413</v>
      </c>
      <c r="C289" s="9" t="s">
        <v>1414</v>
      </c>
      <c r="D289" s="9" t="s">
        <v>1390</v>
      </c>
      <c r="E289" s="9" t="s">
        <v>77</v>
      </c>
      <c r="F289" s="9" t="s">
        <v>77</v>
      </c>
      <c r="G289" s="9" t="s">
        <v>48</v>
      </c>
      <c r="H289" s="9" t="s">
        <v>112</v>
      </c>
      <c r="I289" s="9" t="s">
        <v>42</v>
      </c>
      <c r="J289" s="9" t="s">
        <v>65</v>
      </c>
      <c r="K289" s="9" t="s">
        <v>1415</v>
      </c>
    </row>
    <row r="290" customFormat="false" ht="32.8" hidden="false" customHeight="false" outlineLevel="0" collapsed="false">
      <c r="A290" s="6" t="s">
        <v>1416</v>
      </c>
      <c r="B290" s="7" t="s">
        <v>1417</v>
      </c>
      <c r="C290" s="7" t="s">
        <v>1418</v>
      </c>
      <c r="D290" s="7" t="s">
        <v>1419</v>
      </c>
      <c r="E290" s="7" t="s">
        <v>95</v>
      </c>
      <c r="F290" s="7" t="s">
        <v>95</v>
      </c>
      <c r="G290" s="7" t="s">
        <v>48</v>
      </c>
      <c r="H290" s="7" t="s">
        <v>49</v>
      </c>
      <c r="I290" s="7" t="s">
        <v>98</v>
      </c>
      <c r="J290" s="7" t="s">
        <v>99</v>
      </c>
      <c r="K290" s="7" t="s">
        <v>1420</v>
      </c>
    </row>
    <row r="291" customFormat="false" ht="15" hidden="false" customHeight="false" outlineLevel="0" collapsed="false">
      <c r="A291" s="8" t="s">
        <v>1421</v>
      </c>
      <c r="B291" s="9" t="s">
        <v>1422</v>
      </c>
      <c r="C291" s="9" t="s">
        <v>1423</v>
      </c>
      <c r="D291" s="9" t="s">
        <v>1419</v>
      </c>
      <c r="E291" s="9" t="s">
        <v>217</v>
      </c>
      <c r="F291" s="9" t="s">
        <v>41</v>
      </c>
      <c r="G291" s="9" t="s">
        <v>48</v>
      </c>
      <c r="H291" s="9" t="s">
        <v>49</v>
      </c>
      <c r="I291" s="9" t="s">
        <v>98</v>
      </c>
      <c r="J291" s="9" t="s">
        <v>233</v>
      </c>
      <c r="K291" s="9" t="s">
        <v>1424</v>
      </c>
    </row>
    <row r="292" customFormat="false" ht="32.8" hidden="false" customHeight="false" outlineLevel="0" collapsed="false">
      <c r="A292" s="6" t="s">
        <v>1425</v>
      </c>
      <c r="B292" s="7" t="s">
        <v>1426</v>
      </c>
      <c r="C292" s="7" t="s">
        <v>1427</v>
      </c>
      <c r="D292" s="7" t="s">
        <v>1428</v>
      </c>
      <c r="E292" s="7" t="s">
        <v>95</v>
      </c>
      <c r="F292" s="7" t="s">
        <v>95</v>
      </c>
      <c r="G292" s="7" t="s">
        <v>55</v>
      </c>
      <c r="H292" s="7" t="s">
        <v>232</v>
      </c>
      <c r="I292" s="7" t="s">
        <v>285</v>
      </c>
      <c r="J292" s="7" t="s">
        <v>233</v>
      </c>
      <c r="K292" s="7" t="s">
        <v>1429</v>
      </c>
    </row>
    <row r="293" customFormat="false" ht="22.35" hidden="false" customHeight="false" outlineLevel="0" collapsed="false">
      <c r="A293" s="8" t="s">
        <v>1430</v>
      </c>
      <c r="B293" s="9" t="s">
        <v>1431</v>
      </c>
      <c r="C293" s="9" t="s">
        <v>1432</v>
      </c>
      <c r="D293" s="9" t="s">
        <v>1433</v>
      </c>
      <c r="E293" s="9" t="s">
        <v>40</v>
      </c>
      <c r="F293" s="9" t="s">
        <v>41</v>
      </c>
      <c r="G293" s="9" t="s">
        <v>48</v>
      </c>
      <c r="H293" s="9" t="s">
        <v>49</v>
      </c>
      <c r="I293" s="9" t="s">
        <v>127</v>
      </c>
      <c r="J293" s="9" t="s">
        <v>99</v>
      </c>
      <c r="K293" s="9" t="s">
        <v>1434</v>
      </c>
    </row>
    <row r="294" customFormat="false" ht="15" hidden="false" customHeight="false" outlineLevel="0" collapsed="false">
      <c r="A294" s="6" t="s">
        <v>1435</v>
      </c>
      <c r="B294" s="7" t="s">
        <v>1436</v>
      </c>
      <c r="C294" s="7" t="s">
        <v>1437</v>
      </c>
      <c r="D294" s="7" t="s">
        <v>1438</v>
      </c>
      <c r="E294" s="7" t="s">
        <v>415</v>
      </c>
      <c r="F294" s="7" t="s">
        <v>246</v>
      </c>
      <c r="G294" s="7" t="s">
        <v>48</v>
      </c>
      <c r="H294" s="7" t="s">
        <v>49</v>
      </c>
      <c r="I294" s="7" t="s">
        <v>643</v>
      </c>
      <c r="J294" s="7" t="s">
        <v>233</v>
      </c>
      <c r="K294" s="7" t="s">
        <v>1439</v>
      </c>
    </row>
    <row r="295" customFormat="false" ht="43.25" hidden="false" customHeight="false" outlineLevel="0" collapsed="false">
      <c r="A295" s="8" t="s">
        <v>1440</v>
      </c>
      <c r="B295" s="9" t="s">
        <v>1441</v>
      </c>
      <c r="C295" s="9" t="s">
        <v>1442</v>
      </c>
      <c r="D295" s="9" t="s">
        <v>1443</v>
      </c>
      <c r="E295" s="9" t="s">
        <v>210</v>
      </c>
      <c r="F295" s="9" t="s">
        <v>41</v>
      </c>
      <c r="G295" s="9" t="s">
        <v>48</v>
      </c>
      <c r="H295" s="9" t="s">
        <v>1201</v>
      </c>
      <c r="I295" s="9" t="s">
        <v>98</v>
      </c>
      <c r="J295" s="9" t="s">
        <v>65</v>
      </c>
      <c r="K295" s="9" t="s">
        <v>1444</v>
      </c>
    </row>
    <row r="296" customFormat="false" ht="22.35" hidden="false" customHeight="false" outlineLevel="0" collapsed="false">
      <c r="A296" s="6" t="s">
        <v>1445</v>
      </c>
      <c r="B296" s="7" t="s">
        <v>1446</v>
      </c>
      <c r="C296" s="7" t="s">
        <v>1447</v>
      </c>
      <c r="D296" s="7" t="s">
        <v>1448</v>
      </c>
      <c r="E296" s="7" t="s">
        <v>40</v>
      </c>
      <c r="F296" s="7" t="s">
        <v>41</v>
      </c>
      <c r="G296" s="7"/>
      <c r="H296" s="7"/>
      <c r="I296" s="7" t="s">
        <v>622</v>
      </c>
      <c r="J296" s="7" t="s">
        <v>65</v>
      </c>
      <c r="K296" s="7" t="s">
        <v>1449</v>
      </c>
    </row>
    <row r="297" customFormat="false" ht="22.35" hidden="false" customHeight="false" outlineLevel="0" collapsed="false">
      <c r="A297" s="8" t="s">
        <v>1450</v>
      </c>
      <c r="B297" s="9" t="s">
        <v>1451</v>
      </c>
      <c r="C297" s="9" t="s">
        <v>1452</v>
      </c>
      <c r="D297" s="9" t="s">
        <v>1453</v>
      </c>
      <c r="E297" s="9" t="s">
        <v>95</v>
      </c>
      <c r="F297" s="9" t="s">
        <v>95</v>
      </c>
      <c r="G297" s="9" t="s">
        <v>632</v>
      </c>
      <c r="H297" s="9" t="s">
        <v>633</v>
      </c>
      <c r="I297" s="9" t="s">
        <v>98</v>
      </c>
      <c r="J297" s="9" t="s">
        <v>233</v>
      </c>
      <c r="K297" s="9" t="s">
        <v>1454</v>
      </c>
    </row>
    <row r="298" customFormat="false" ht="22.35" hidden="false" customHeight="false" outlineLevel="0" collapsed="false">
      <c r="A298" s="6" t="s">
        <v>1455</v>
      </c>
      <c r="B298" s="7" t="s">
        <v>1456</v>
      </c>
      <c r="C298" s="7" t="s">
        <v>1457</v>
      </c>
      <c r="D298" s="7" t="s">
        <v>1453</v>
      </c>
      <c r="E298" s="7" t="s">
        <v>95</v>
      </c>
      <c r="F298" s="7" t="s">
        <v>95</v>
      </c>
      <c r="G298" s="7" t="s">
        <v>239</v>
      </c>
      <c r="H298" s="7" t="s">
        <v>240</v>
      </c>
      <c r="I298" s="7" t="s">
        <v>285</v>
      </c>
      <c r="J298" s="7" t="s">
        <v>117</v>
      </c>
      <c r="K298" s="7" t="s">
        <v>1458</v>
      </c>
    </row>
    <row r="299" customFormat="false" ht="32.8" hidden="false" customHeight="false" outlineLevel="0" collapsed="false">
      <c r="A299" s="8" t="s">
        <v>1459</v>
      </c>
      <c r="B299" s="9" t="s">
        <v>1460</v>
      </c>
      <c r="C299" s="9" t="s">
        <v>1461</v>
      </c>
      <c r="D299" s="9" t="s">
        <v>1453</v>
      </c>
      <c r="E299" s="9" t="s">
        <v>217</v>
      </c>
      <c r="F299" s="9" t="s">
        <v>41</v>
      </c>
      <c r="G299" s="9" t="s">
        <v>48</v>
      </c>
      <c r="H299" s="9" t="s">
        <v>49</v>
      </c>
      <c r="I299" s="9" t="s">
        <v>285</v>
      </c>
      <c r="J299" s="9" t="s">
        <v>233</v>
      </c>
      <c r="K299" s="9" t="s">
        <v>1462</v>
      </c>
    </row>
    <row r="300" customFormat="false" ht="15" hidden="false" customHeight="false" outlineLevel="0" collapsed="false">
      <c r="A300" s="6" t="s">
        <v>1463</v>
      </c>
      <c r="B300" s="7" t="s">
        <v>1464</v>
      </c>
      <c r="C300" s="7" t="s">
        <v>1465</v>
      </c>
      <c r="D300" s="7" t="s">
        <v>1466</v>
      </c>
      <c r="E300" s="7" t="s">
        <v>77</v>
      </c>
      <c r="F300" s="7" t="s">
        <v>77</v>
      </c>
      <c r="G300" s="7" t="s">
        <v>48</v>
      </c>
      <c r="H300" s="7" t="s">
        <v>112</v>
      </c>
      <c r="I300" s="7" t="s">
        <v>285</v>
      </c>
      <c r="J300" s="7" t="s">
        <v>99</v>
      </c>
      <c r="K300" s="7" t="s">
        <v>1467</v>
      </c>
    </row>
    <row r="301" customFormat="false" ht="22.35" hidden="false" customHeight="false" outlineLevel="0" collapsed="false">
      <c r="A301" s="8" t="s">
        <v>1468</v>
      </c>
      <c r="B301" s="9" t="s">
        <v>1469</v>
      </c>
      <c r="C301" s="9" t="s">
        <v>1470</v>
      </c>
      <c r="D301" s="9" t="s">
        <v>1471</v>
      </c>
      <c r="E301" s="9" t="s">
        <v>217</v>
      </c>
      <c r="F301" s="9" t="s">
        <v>41</v>
      </c>
      <c r="G301" s="9" t="s">
        <v>48</v>
      </c>
      <c r="H301" s="9" t="s">
        <v>112</v>
      </c>
      <c r="I301" s="9" t="s">
        <v>285</v>
      </c>
      <c r="J301" s="9" t="s">
        <v>233</v>
      </c>
      <c r="K301" s="9" t="s">
        <v>1472</v>
      </c>
    </row>
    <row r="302" customFormat="false" ht="22.35" hidden="false" customHeight="false" outlineLevel="0" collapsed="false">
      <c r="A302" s="6" t="s">
        <v>1473</v>
      </c>
      <c r="B302" s="7" t="s">
        <v>1474</v>
      </c>
      <c r="C302" s="7" t="s">
        <v>1475</v>
      </c>
      <c r="D302" s="7" t="s">
        <v>1471</v>
      </c>
      <c r="E302" s="7" t="s">
        <v>40</v>
      </c>
      <c r="F302" s="7" t="s">
        <v>41</v>
      </c>
      <c r="G302" s="7" t="s">
        <v>55</v>
      </c>
      <c r="H302" s="7" t="s">
        <v>290</v>
      </c>
      <c r="I302" s="7" t="s">
        <v>310</v>
      </c>
      <c r="J302" s="7" t="s">
        <v>65</v>
      </c>
      <c r="K302" s="7" t="s">
        <v>1476</v>
      </c>
    </row>
    <row r="303" customFormat="false" ht="15" hidden="false" customHeight="false" outlineLevel="0" collapsed="false">
      <c r="A303" s="8" t="s">
        <v>1477</v>
      </c>
      <c r="B303" s="9" t="s">
        <v>1478</v>
      </c>
      <c r="C303" s="9" t="s">
        <v>1479</v>
      </c>
      <c r="D303" s="9" t="s">
        <v>1480</v>
      </c>
      <c r="E303" s="9" t="s">
        <v>217</v>
      </c>
      <c r="F303" s="9" t="s">
        <v>41</v>
      </c>
      <c r="G303" s="9" t="s">
        <v>48</v>
      </c>
      <c r="H303" s="9" t="s">
        <v>112</v>
      </c>
      <c r="I303" s="9" t="s">
        <v>42</v>
      </c>
      <c r="J303" s="9" t="s">
        <v>233</v>
      </c>
      <c r="K303" s="9" t="s">
        <v>1481</v>
      </c>
    </row>
    <row r="304" customFormat="false" ht="15" hidden="false" customHeight="false" outlineLevel="0" collapsed="false">
      <c r="A304" s="6" t="s">
        <v>1482</v>
      </c>
      <c r="B304" s="7" t="s">
        <v>1483</v>
      </c>
      <c r="C304" s="7" t="s">
        <v>1484</v>
      </c>
      <c r="D304" s="7" t="s">
        <v>1480</v>
      </c>
      <c r="E304" s="7" t="s">
        <v>40</v>
      </c>
      <c r="F304" s="7" t="s">
        <v>41</v>
      </c>
      <c r="G304" s="7" t="s">
        <v>55</v>
      </c>
      <c r="H304" s="7" t="s">
        <v>290</v>
      </c>
      <c r="I304" s="7" t="s">
        <v>42</v>
      </c>
      <c r="J304" s="7" t="s">
        <v>233</v>
      </c>
      <c r="K304" s="7" t="s">
        <v>1485</v>
      </c>
    </row>
    <row r="305" customFormat="false" ht="15" hidden="false" customHeight="false" outlineLevel="0" collapsed="false">
      <c r="A305" s="8" t="s">
        <v>1486</v>
      </c>
      <c r="B305" s="9" t="s">
        <v>1487</v>
      </c>
      <c r="C305" s="9" t="s">
        <v>1488</v>
      </c>
      <c r="D305" s="9" t="s">
        <v>1489</v>
      </c>
      <c r="E305" s="9" t="s">
        <v>77</v>
      </c>
      <c r="F305" s="9" t="s">
        <v>77</v>
      </c>
      <c r="G305" s="9" t="s">
        <v>63</v>
      </c>
      <c r="H305" s="9" t="s">
        <v>64</v>
      </c>
      <c r="I305" s="9" t="s">
        <v>42</v>
      </c>
      <c r="J305" s="9" t="s">
        <v>65</v>
      </c>
      <c r="K305" s="9" t="s">
        <v>1490</v>
      </c>
    </row>
    <row r="306" customFormat="false" ht="22.35" hidden="false" customHeight="false" outlineLevel="0" collapsed="false">
      <c r="A306" s="6" t="s">
        <v>1491</v>
      </c>
      <c r="B306" s="7" t="s">
        <v>1492</v>
      </c>
      <c r="C306" s="7" t="s">
        <v>1493</v>
      </c>
      <c r="D306" s="7" t="s">
        <v>1494</v>
      </c>
      <c r="E306" s="7" t="s">
        <v>40</v>
      </c>
      <c r="F306" s="7" t="s">
        <v>41</v>
      </c>
      <c r="G306" s="7" t="s">
        <v>96</v>
      </c>
      <c r="H306" s="7" t="s">
        <v>901</v>
      </c>
      <c r="I306" s="7" t="s">
        <v>188</v>
      </c>
      <c r="J306" s="7" t="s">
        <v>65</v>
      </c>
      <c r="K306" s="7" t="s">
        <v>1495</v>
      </c>
    </row>
    <row r="307" customFormat="false" ht="15" hidden="false" customHeight="false" outlineLevel="0" collapsed="false">
      <c r="A307" s="8" t="s">
        <v>1496</v>
      </c>
      <c r="B307" s="9" t="s">
        <v>1497</v>
      </c>
      <c r="C307" s="9" t="s">
        <v>1498</v>
      </c>
      <c r="D307" s="9" t="s">
        <v>1499</v>
      </c>
      <c r="E307" s="9" t="s">
        <v>217</v>
      </c>
      <c r="F307" s="9" t="s">
        <v>41</v>
      </c>
      <c r="G307" s="9" t="s">
        <v>48</v>
      </c>
      <c r="H307" s="9" t="s">
        <v>112</v>
      </c>
      <c r="I307" s="9" t="s">
        <v>42</v>
      </c>
      <c r="J307" s="9" t="s">
        <v>233</v>
      </c>
      <c r="K307" s="9" t="s">
        <v>1500</v>
      </c>
    </row>
    <row r="308" customFormat="false" ht="32.8" hidden="false" customHeight="false" outlineLevel="0" collapsed="false">
      <c r="A308" s="6" t="s">
        <v>1501</v>
      </c>
      <c r="B308" s="7" t="s">
        <v>1502</v>
      </c>
      <c r="C308" s="7" t="s">
        <v>1503</v>
      </c>
      <c r="D308" s="7" t="s">
        <v>1499</v>
      </c>
      <c r="E308" s="7" t="s">
        <v>217</v>
      </c>
      <c r="F308" s="7" t="s">
        <v>41</v>
      </c>
      <c r="G308" s="7" t="s">
        <v>96</v>
      </c>
      <c r="H308" s="7" t="s">
        <v>97</v>
      </c>
      <c r="I308" s="7" t="s">
        <v>98</v>
      </c>
      <c r="J308" s="7" t="s">
        <v>99</v>
      </c>
      <c r="K308" s="7" t="s">
        <v>1504</v>
      </c>
    </row>
    <row r="309" customFormat="false" ht="22.35" hidden="false" customHeight="false" outlineLevel="0" collapsed="false">
      <c r="A309" s="8" t="s">
        <v>1505</v>
      </c>
      <c r="B309" s="9" t="s">
        <v>1506</v>
      </c>
      <c r="C309" s="9" t="s">
        <v>1507</v>
      </c>
      <c r="D309" s="9" t="s">
        <v>1499</v>
      </c>
      <c r="E309" s="9" t="s">
        <v>1040</v>
      </c>
      <c r="F309" s="9" t="s">
        <v>246</v>
      </c>
      <c r="G309" s="9" t="s">
        <v>258</v>
      </c>
      <c r="H309" s="9" t="s">
        <v>1508</v>
      </c>
      <c r="I309" s="9" t="s">
        <v>98</v>
      </c>
      <c r="J309" s="9" t="s">
        <v>65</v>
      </c>
      <c r="K309" s="9" t="s">
        <v>1509</v>
      </c>
    </row>
    <row r="310" customFormat="false" ht="22.35" hidden="false" customHeight="false" outlineLevel="0" collapsed="false">
      <c r="A310" s="6" t="s">
        <v>1510</v>
      </c>
      <c r="B310" s="7" t="s">
        <v>1511</v>
      </c>
      <c r="C310" s="7" t="s">
        <v>1512</v>
      </c>
      <c r="D310" s="7" t="s">
        <v>1513</v>
      </c>
      <c r="E310" s="7" t="s">
        <v>40</v>
      </c>
      <c r="F310" s="7" t="s">
        <v>41</v>
      </c>
      <c r="G310" s="7" t="s">
        <v>48</v>
      </c>
      <c r="H310" s="7" t="s">
        <v>49</v>
      </c>
      <c r="I310" s="7" t="s">
        <v>42</v>
      </c>
      <c r="J310" s="7" t="s">
        <v>43</v>
      </c>
      <c r="K310" s="7" t="s">
        <v>1514</v>
      </c>
    </row>
    <row r="311" customFormat="false" ht="22.35" hidden="false" customHeight="false" outlineLevel="0" collapsed="false">
      <c r="A311" s="8" t="s">
        <v>1515</v>
      </c>
      <c r="B311" s="9" t="s">
        <v>1516</v>
      </c>
      <c r="C311" s="9" t="s">
        <v>1517</v>
      </c>
      <c r="D311" s="9" t="s">
        <v>1513</v>
      </c>
      <c r="E311" s="9" t="s">
        <v>40</v>
      </c>
      <c r="F311" s="9" t="s">
        <v>41</v>
      </c>
      <c r="G311" s="9" t="s">
        <v>154</v>
      </c>
      <c r="H311" s="9" t="s">
        <v>525</v>
      </c>
      <c r="I311" s="9" t="s">
        <v>42</v>
      </c>
      <c r="J311" s="9" t="s">
        <v>50</v>
      </c>
      <c r="K311" s="9" t="s">
        <v>1518</v>
      </c>
    </row>
    <row r="312" customFormat="false" ht="22.35" hidden="false" customHeight="false" outlineLevel="0" collapsed="false">
      <c r="A312" s="6" t="s">
        <v>1519</v>
      </c>
      <c r="B312" s="7" t="s">
        <v>1520</v>
      </c>
      <c r="C312" s="7" t="s">
        <v>1521</v>
      </c>
      <c r="D312" s="7" t="s">
        <v>1513</v>
      </c>
      <c r="E312" s="7" t="s">
        <v>40</v>
      </c>
      <c r="F312" s="7" t="s">
        <v>41</v>
      </c>
      <c r="G312" s="7"/>
      <c r="H312" s="7"/>
      <c r="I312" s="7" t="s">
        <v>42</v>
      </c>
      <c r="J312" s="7" t="s">
        <v>65</v>
      </c>
      <c r="K312" s="7" t="s">
        <v>1522</v>
      </c>
    </row>
    <row r="313" customFormat="false" ht="22.35" hidden="false" customHeight="false" outlineLevel="0" collapsed="false">
      <c r="A313" s="8" t="s">
        <v>1523</v>
      </c>
      <c r="B313" s="9" t="s">
        <v>1524</v>
      </c>
      <c r="C313" s="9" t="s">
        <v>1525</v>
      </c>
      <c r="D313" s="9" t="s">
        <v>1513</v>
      </c>
      <c r="E313" s="9" t="s">
        <v>40</v>
      </c>
      <c r="F313" s="9" t="s">
        <v>41</v>
      </c>
      <c r="G313" s="9" t="s">
        <v>48</v>
      </c>
      <c r="H313" s="9" t="s">
        <v>49</v>
      </c>
      <c r="I313" s="9" t="s">
        <v>42</v>
      </c>
      <c r="J313" s="9" t="s">
        <v>50</v>
      </c>
      <c r="K313" s="9" t="s">
        <v>1526</v>
      </c>
    </row>
    <row r="314" customFormat="false" ht="22.35" hidden="false" customHeight="false" outlineLevel="0" collapsed="false">
      <c r="A314" s="6" t="s">
        <v>1527</v>
      </c>
      <c r="B314" s="7" t="s">
        <v>1528</v>
      </c>
      <c r="C314" s="7" t="s">
        <v>1529</v>
      </c>
      <c r="D314" s="7" t="s">
        <v>245</v>
      </c>
      <c r="E314" s="7" t="s">
        <v>40</v>
      </c>
      <c r="F314" s="7" t="s">
        <v>41</v>
      </c>
      <c r="G314" s="7" t="s">
        <v>96</v>
      </c>
      <c r="H314" s="7" t="s">
        <v>901</v>
      </c>
      <c r="I314" s="7" t="s">
        <v>622</v>
      </c>
      <c r="J314" s="7" t="s">
        <v>233</v>
      </c>
      <c r="K314" s="7" t="s">
        <v>1530</v>
      </c>
    </row>
    <row r="315" customFormat="false" ht="22.35" hidden="false" customHeight="false" outlineLevel="0" collapsed="false">
      <c r="A315" s="8" t="s">
        <v>1531</v>
      </c>
      <c r="B315" s="9" t="s">
        <v>1532</v>
      </c>
      <c r="C315" s="9" t="s">
        <v>1533</v>
      </c>
      <c r="D315" s="9" t="s">
        <v>245</v>
      </c>
      <c r="E315" s="9" t="s">
        <v>40</v>
      </c>
      <c r="F315" s="9" t="s">
        <v>41</v>
      </c>
      <c r="G315" s="9"/>
      <c r="H315" s="9"/>
      <c r="I315" s="9" t="s">
        <v>1534</v>
      </c>
      <c r="J315" s="9" t="s">
        <v>65</v>
      </c>
      <c r="K315" s="9" t="s">
        <v>1535</v>
      </c>
    </row>
    <row r="316" customFormat="false" ht="32.8" hidden="false" customHeight="false" outlineLevel="0" collapsed="false">
      <c r="A316" s="6" t="s">
        <v>1536</v>
      </c>
      <c r="B316" s="7" t="s">
        <v>1537</v>
      </c>
      <c r="C316" s="7" t="s">
        <v>1538</v>
      </c>
      <c r="D316" s="7" t="s">
        <v>245</v>
      </c>
      <c r="E316" s="7" t="s">
        <v>95</v>
      </c>
      <c r="F316" s="7" t="s">
        <v>95</v>
      </c>
      <c r="G316" s="7" t="s">
        <v>96</v>
      </c>
      <c r="H316" s="7" t="s">
        <v>97</v>
      </c>
      <c r="I316" s="7" t="s">
        <v>1539</v>
      </c>
      <c r="J316" s="7" t="s">
        <v>233</v>
      </c>
      <c r="K316" s="7" t="s">
        <v>1540</v>
      </c>
    </row>
    <row r="317" customFormat="false" ht="15" hidden="false" customHeight="false" outlineLevel="0" collapsed="false">
      <c r="A317" s="8" t="s">
        <v>1541</v>
      </c>
      <c r="B317" s="9" t="s">
        <v>1542</v>
      </c>
      <c r="C317" s="9" t="s">
        <v>1543</v>
      </c>
      <c r="D317" s="9" t="s">
        <v>245</v>
      </c>
      <c r="E317" s="9" t="s">
        <v>40</v>
      </c>
      <c r="F317" s="9" t="s">
        <v>41</v>
      </c>
      <c r="G317" s="9" t="s">
        <v>48</v>
      </c>
      <c r="H317" s="9" t="s">
        <v>49</v>
      </c>
      <c r="I317" s="9" t="s">
        <v>42</v>
      </c>
      <c r="J317" s="9" t="s">
        <v>65</v>
      </c>
      <c r="K317" s="9" t="s">
        <v>1544</v>
      </c>
    </row>
    <row r="318" customFormat="false" ht="22.35" hidden="false" customHeight="false" outlineLevel="0" collapsed="false">
      <c r="A318" s="6" t="s">
        <v>1545</v>
      </c>
      <c r="B318" s="7" t="s">
        <v>1546</v>
      </c>
      <c r="C318" s="7" t="s">
        <v>1547</v>
      </c>
      <c r="D318" s="7" t="s">
        <v>245</v>
      </c>
      <c r="E318" s="7" t="s">
        <v>77</v>
      </c>
      <c r="F318" s="7" t="s">
        <v>77</v>
      </c>
      <c r="G318" s="7" t="s">
        <v>1548</v>
      </c>
      <c r="H318" s="7" t="s">
        <v>1549</v>
      </c>
      <c r="I318" s="7" t="s">
        <v>1539</v>
      </c>
      <c r="J318" s="7" t="s">
        <v>117</v>
      </c>
      <c r="K318" s="7" t="s">
        <v>1550</v>
      </c>
    </row>
    <row r="319" customFormat="false" ht="15" hidden="false" customHeight="false" outlineLevel="0" collapsed="false">
      <c r="A319" s="8" t="s">
        <v>1551</v>
      </c>
      <c r="B319" s="9" t="s">
        <v>1552</v>
      </c>
      <c r="C319" s="9" t="s">
        <v>1553</v>
      </c>
      <c r="D319" s="9" t="s">
        <v>245</v>
      </c>
      <c r="E319" s="9" t="s">
        <v>77</v>
      </c>
      <c r="F319" s="9" t="s">
        <v>77</v>
      </c>
      <c r="G319" s="9" t="s">
        <v>48</v>
      </c>
      <c r="H319" s="9" t="s">
        <v>49</v>
      </c>
      <c r="I319" s="9" t="s">
        <v>1554</v>
      </c>
      <c r="J319" s="9" t="s">
        <v>65</v>
      </c>
      <c r="K319" s="9" t="s">
        <v>1555</v>
      </c>
    </row>
    <row r="320" customFormat="false" ht="15" hidden="false" customHeight="false" outlineLevel="0" collapsed="false">
      <c r="A320" s="6" t="s">
        <v>1556</v>
      </c>
      <c r="B320" s="7" t="s">
        <v>1557</v>
      </c>
      <c r="C320" s="7" t="s">
        <v>1111</v>
      </c>
      <c r="D320" s="7" t="s">
        <v>245</v>
      </c>
      <c r="E320" s="7" t="s">
        <v>40</v>
      </c>
      <c r="F320" s="7" t="s">
        <v>41</v>
      </c>
      <c r="G320" s="7" t="s">
        <v>64</v>
      </c>
      <c r="H320" s="7"/>
      <c r="I320" s="7" t="s">
        <v>1554</v>
      </c>
      <c r="J320" s="7" t="s">
        <v>65</v>
      </c>
      <c r="K320" s="7" t="s">
        <v>1558</v>
      </c>
    </row>
    <row r="321" customFormat="false" ht="15" hidden="false" customHeight="false" outlineLevel="0" collapsed="false">
      <c r="A321" s="8" t="s">
        <v>1559</v>
      </c>
      <c r="B321" s="9" t="s">
        <v>1560</v>
      </c>
      <c r="C321" s="9" t="s">
        <v>1561</v>
      </c>
      <c r="D321" s="9" t="s">
        <v>245</v>
      </c>
      <c r="E321" s="9" t="s">
        <v>166</v>
      </c>
      <c r="F321" s="9" t="s">
        <v>111</v>
      </c>
      <c r="G321" s="9" t="s">
        <v>154</v>
      </c>
      <c r="H321" s="9" t="s">
        <v>1182</v>
      </c>
      <c r="I321" s="9" t="s">
        <v>1562</v>
      </c>
      <c r="J321" s="9" t="s">
        <v>65</v>
      </c>
      <c r="K321" s="9" t="s">
        <v>1563</v>
      </c>
    </row>
    <row r="322" customFormat="false" ht="15" hidden="false" customHeight="false" outlineLevel="0" collapsed="false">
      <c r="A322" s="6" t="s">
        <v>1564</v>
      </c>
      <c r="B322" s="7" t="s">
        <v>1565</v>
      </c>
      <c r="C322" s="7" t="s">
        <v>1566</v>
      </c>
      <c r="D322" s="7" t="s">
        <v>245</v>
      </c>
      <c r="E322" s="7" t="s">
        <v>850</v>
      </c>
      <c r="F322" s="7" t="s">
        <v>246</v>
      </c>
      <c r="G322" s="7" t="s">
        <v>48</v>
      </c>
      <c r="H322" s="7" t="s">
        <v>49</v>
      </c>
      <c r="I322" s="7" t="s">
        <v>1554</v>
      </c>
      <c r="J322" s="7" t="s">
        <v>65</v>
      </c>
      <c r="K322" s="7" t="s">
        <v>1567</v>
      </c>
    </row>
    <row r="323" customFormat="false" ht="15" hidden="false" customHeight="false" outlineLevel="0" collapsed="false">
      <c r="A323" s="8" t="s">
        <v>1568</v>
      </c>
      <c r="B323" s="9" t="s">
        <v>1569</v>
      </c>
      <c r="C323" s="9" t="s">
        <v>1570</v>
      </c>
      <c r="D323" s="9" t="s">
        <v>245</v>
      </c>
      <c r="E323" s="9" t="s">
        <v>723</v>
      </c>
      <c r="F323" s="9" t="s">
        <v>246</v>
      </c>
      <c r="G323" s="9" t="s">
        <v>96</v>
      </c>
      <c r="H323" s="9" t="s">
        <v>142</v>
      </c>
      <c r="I323" s="9" t="s">
        <v>1554</v>
      </c>
      <c r="J323" s="9" t="s">
        <v>99</v>
      </c>
      <c r="K323" s="9" t="s">
        <v>1571</v>
      </c>
    </row>
  </sheetData>
  <autoFilter ref="A1:K3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1572</v>
      </c>
    </row>
    <row r="3" customFormat="false" ht="23.85" hidden="false" customHeight="false" outlineLevel="0" collapsed="false">
      <c r="A3" s="10" t="s">
        <v>28</v>
      </c>
      <c r="B3" s="10" t="s">
        <v>1573</v>
      </c>
      <c r="C3" s="10" t="s">
        <v>41</v>
      </c>
      <c r="D3" s="10" t="s">
        <v>77</v>
      </c>
      <c r="E3" s="10" t="s">
        <v>95</v>
      </c>
      <c r="F3" s="10" t="s">
        <v>111</v>
      </c>
      <c r="G3" s="10" t="s">
        <v>246</v>
      </c>
    </row>
    <row r="4" customFormat="false" ht="15" hidden="false" customHeight="false" outlineLevel="0" collapsed="false">
      <c r="A4" s="11" t="s">
        <v>931</v>
      </c>
      <c r="B4" s="11" t="n">
        <f aca="false">COUNTIF('All Cases'!$D$2:$D$323,A4)</f>
        <v>11</v>
      </c>
      <c r="C4" s="11" t="n">
        <f aca="false">COUNTIFS('All Cases'!$D$2:$D$323,A4,'All Cases'!$F$2:$F$323,"Dismissed/Withdrawn")</f>
        <v>6</v>
      </c>
      <c r="D4" s="11" t="n">
        <f aca="false">COUNTIFS('All Cases'!$D$2:$D$323,A4,'All Cases'!$F$2:$F$323,"Default Judgment")</f>
        <v>2</v>
      </c>
      <c r="E4" s="11" t="n">
        <f aca="false">COUNTIFS('All Cases'!$D$2:$D$323,A4,'All Cases'!$F$2:$F$323,"Active")</f>
        <v>3</v>
      </c>
      <c r="F4" s="11" t="n">
        <f aca="false">COUNTIFS('All Cases'!$D$2:$D$323,A4,'All Cases'!$F$2:$F$323,"Merits/Judgment")</f>
        <v>0</v>
      </c>
      <c r="G4" s="11" t="n">
        <f aca="false">COUNTIFS('All Cases'!$D$2:$D$323,A4,'All Cases'!$F$2:$F$323,"Other/Unknown")</f>
        <v>0</v>
      </c>
    </row>
    <row r="5" customFormat="false" ht="15" hidden="false" customHeight="false" outlineLevel="0" collapsed="false">
      <c r="A5" s="12" t="s">
        <v>245</v>
      </c>
      <c r="B5" s="12" t="n">
        <f aca="false">COUNTIF('All Cases'!$D$2:$D$323,A5)</f>
        <v>10</v>
      </c>
      <c r="C5" s="12" t="n">
        <f aca="false">COUNTIFS('All Cases'!$D$2:$D$323,A5,'All Cases'!$F$2:$F$323,"Dismissed/Withdrawn")</f>
        <v>4</v>
      </c>
      <c r="D5" s="12" t="n">
        <f aca="false">COUNTIFS('All Cases'!$D$2:$D$323,A5,'All Cases'!$F$2:$F$323,"Default Judgment")</f>
        <v>2</v>
      </c>
      <c r="E5" s="12" t="n">
        <f aca="false">COUNTIFS('All Cases'!$D$2:$D$323,A5,'All Cases'!$F$2:$F$323,"Active")</f>
        <v>1</v>
      </c>
      <c r="F5" s="12" t="n">
        <f aca="false">COUNTIFS('All Cases'!$D$2:$D$323,A5,'All Cases'!$F$2:$F$323,"Merits/Judgment")</f>
        <v>1</v>
      </c>
      <c r="G5" s="12" t="n">
        <f aca="false">COUNTIFS('All Cases'!$D$2:$D$323,A5,'All Cases'!$F$2:$F$323,"Other/Unknown")</f>
        <v>2</v>
      </c>
    </row>
    <row r="6" customFormat="false" ht="15" hidden="false" customHeight="false" outlineLevel="0" collapsed="false">
      <c r="A6" s="11" t="s">
        <v>421</v>
      </c>
      <c r="B6" s="11" t="n">
        <f aca="false">COUNTIF('All Cases'!$D$2:$D$323,A6)</f>
        <v>7</v>
      </c>
      <c r="C6" s="11" t="n">
        <f aca="false">COUNTIFS('All Cases'!$D$2:$D$323,A6,'All Cases'!$F$2:$F$323,"Dismissed/Withdrawn")</f>
        <v>5</v>
      </c>
      <c r="D6" s="11" t="n">
        <f aca="false">COUNTIFS('All Cases'!$D$2:$D$323,A6,'All Cases'!$F$2:$F$323,"Default Judgment")</f>
        <v>1</v>
      </c>
      <c r="E6" s="11" t="n">
        <f aca="false">COUNTIFS('All Cases'!$D$2:$D$323,A6,'All Cases'!$F$2:$F$323,"Active")</f>
        <v>0</v>
      </c>
      <c r="F6" s="11" t="n">
        <f aca="false">COUNTIFS('All Cases'!$D$2:$D$323,A6,'All Cases'!$F$2:$F$323,"Merits/Judgment")</f>
        <v>0</v>
      </c>
      <c r="G6" s="11" t="n">
        <f aca="false">COUNTIFS('All Cases'!$D$2:$D$323,A6,'All Cases'!$F$2:$F$323,"Other/Unknown")</f>
        <v>1</v>
      </c>
    </row>
    <row r="7" customFormat="false" ht="15" hidden="false" customHeight="false" outlineLevel="0" collapsed="false">
      <c r="A7" s="12" t="s">
        <v>728</v>
      </c>
      <c r="B7" s="12" t="n">
        <f aca="false">COUNTIF('All Cases'!$D$2:$D$323,A7)</f>
        <v>7</v>
      </c>
      <c r="C7" s="12" t="n">
        <f aca="false">COUNTIFS('All Cases'!$D$2:$D$323,A7,'All Cases'!$F$2:$F$323,"Dismissed/Withdrawn")</f>
        <v>6</v>
      </c>
      <c r="D7" s="12" t="n">
        <f aca="false">COUNTIFS('All Cases'!$D$2:$D$323,A7,'All Cases'!$F$2:$F$323,"Default Judgment")</f>
        <v>0</v>
      </c>
      <c r="E7" s="12" t="n">
        <f aca="false">COUNTIFS('All Cases'!$D$2:$D$323,A7,'All Cases'!$F$2:$F$323,"Active")</f>
        <v>0</v>
      </c>
      <c r="F7" s="12" t="n">
        <f aca="false">COUNTIFS('All Cases'!$D$2:$D$323,A7,'All Cases'!$F$2:$F$323,"Merits/Judgment")</f>
        <v>1</v>
      </c>
      <c r="G7" s="12" t="n">
        <f aca="false">COUNTIFS('All Cases'!$D$2:$D$323,A7,'All Cases'!$F$2:$F$323,"Other/Unknown")</f>
        <v>0</v>
      </c>
    </row>
    <row r="8" customFormat="false" ht="15" hidden="false" customHeight="false" outlineLevel="0" collapsed="false">
      <c r="A8" s="11" t="s">
        <v>1011</v>
      </c>
      <c r="B8" s="11" t="n">
        <f aca="false">COUNTIF('All Cases'!$D$2:$D$323,A8)</f>
        <v>7</v>
      </c>
      <c r="C8" s="11" t="n">
        <f aca="false">COUNTIFS('All Cases'!$D$2:$D$323,A8,'All Cases'!$F$2:$F$323,"Dismissed/Withdrawn")</f>
        <v>4</v>
      </c>
      <c r="D8" s="11" t="n">
        <f aca="false">COUNTIFS('All Cases'!$D$2:$D$323,A8,'All Cases'!$F$2:$F$323,"Default Judgment")</f>
        <v>0</v>
      </c>
      <c r="E8" s="11" t="n">
        <f aca="false">COUNTIFS('All Cases'!$D$2:$D$323,A8,'All Cases'!$F$2:$F$323,"Active")</f>
        <v>3</v>
      </c>
      <c r="F8" s="11" t="n">
        <f aca="false">COUNTIFS('All Cases'!$D$2:$D$323,A8,'All Cases'!$F$2:$F$323,"Merits/Judgment")</f>
        <v>0</v>
      </c>
      <c r="G8" s="11" t="n">
        <f aca="false">COUNTIFS('All Cases'!$D$2:$D$323,A8,'All Cases'!$F$2:$F$323,"Other/Unknown")</f>
        <v>0</v>
      </c>
    </row>
    <row r="9" customFormat="false" ht="15" hidden="false" customHeight="false" outlineLevel="0" collapsed="false">
      <c r="A9" s="12" t="s">
        <v>1390</v>
      </c>
      <c r="B9" s="12" t="n">
        <f aca="false">COUNTIF('All Cases'!$D$2:$D$323,A9)</f>
        <v>7</v>
      </c>
      <c r="C9" s="12" t="n">
        <f aca="false">COUNTIFS('All Cases'!$D$2:$D$323,A9,'All Cases'!$F$2:$F$323,"Dismissed/Withdrawn")</f>
        <v>6</v>
      </c>
      <c r="D9" s="12" t="n">
        <f aca="false">COUNTIFS('All Cases'!$D$2:$D$323,A9,'All Cases'!$F$2:$F$323,"Default Judgment")</f>
        <v>1</v>
      </c>
      <c r="E9" s="12" t="n">
        <f aca="false">COUNTIFS('All Cases'!$D$2:$D$323,A9,'All Cases'!$F$2:$F$323,"Active")</f>
        <v>0</v>
      </c>
      <c r="F9" s="12" t="n">
        <f aca="false">COUNTIFS('All Cases'!$D$2:$D$323,A9,'All Cases'!$F$2:$F$323,"Merits/Judgment")</f>
        <v>0</v>
      </c>
      <c r="G9" s="12" t="n">
        <f aca="false">COUNTIFS('All Cases'!$D$2:$D$323,A9,'All Cases'!$F$2:$F$323,"Other/Unknown")</f>
        <v>0</v>
      </c>
    </row>
    <row r="10" customFormat="false" ht="15" hidden="false" customHeight="false" outlineLevel="0" collapsed="false">
      <c r="A10" s="11" t="s">
        <v>376</v>
      </c>
      <c r="B10" s="11" t="n">
        <f aca="false">COUNTIF('All Cases'!$D$2:$D$323,A10)</f>
        <v>6</v>
      </c>
      <c r="C10" s="11" t="n">
        <f aca="false">COUNTIFS('All Cases'!$D$2:$D$323,A10,'All Cases'!$F$2:$F$323,"Dismissed/Withdrawn")</f>
        <v>4</v>
      </c>
      <c r="D10" s="11" t="n">
        <f aca="false">COUNTIFS('All Cases'!$D$2:$D$323,A10,'All Cases'!$F$2:$F$323,"Default Judgment")</f>
        <v>1</v>
      </c>
      <c r="E10" s="11" t="n">
        <f aca="false">COUNTIFS('All Cases'!$D$2:$D$323,A10,'All Cases'!$F$2:$F$323,"Active")</f>
        <v>0</v>
      </c>
      <c r="F10" s="11" t="n">
        <f aca="false">COUNTIFS('All Cases'!$D$2:$D$323,A10,'All Cases'!$F$2:$F$323,"Merits/Judgment")</f>
        <v>1</v>
      </c>
      <c r="G10" s="11" t="n">
        <f aca="false">COUNTIFS('All Cases'!$D$2:$D$323,A10,'All Cases'!$F$2:$F$323,"Other/Unknown")</f>
        <v>0</v>
      </c>
    </row>
    <row r="11" customFormat="false" ht="15" hidden="false" customHeight="false" outlineLevel="0" collapsed="false">
      <c r="A11" s="12" t="s">
        <v>1361</v>
      </c>
      <c r="B11" s="12" t="n">
        <f aca="false">COUNTIF('All Cases'!$D$2:$D$323,A11)</f>
        <v>6</v>
      </c>
      <c r="C11" s="12" t="n">
        <f aca="false">COUNTIFS('All Cases'!$D$2:$D$323,A11,'All Cases'!$F$2:$F$323,"Dismissed/Withdrawn")</f>
        <v>5</v>
      </c>
      <c r="D11" s="12" t="n">
        <f aca="false">COUNTIFS('All Cases'!$D$2:$D$323,A11,'All Cases'!$F$2:$F$323,"Default Judgment")</f>
        <v>1</v>
      </c>
      <c r="E11" s="12" t="n">
        <f aca="false">COUNTIFS('All Cases'!$D$2:$D$323,A11,'All Cases'!$F$2:$F$323,"Active")</f>
        <v>0</v>
      </c>
      <c r="F11" s="12" t="n">
        <f aca="false">COUNTIFS('All Cases'!$D$2:$D$323,A11,'All Cases'!$F$2:$F$323,"Merits/Judgment")</f>
        <v>0</v>
      </c>
      <c r="G11" s="12" t="n">
        <f aca="false">COUNTIFS('All Cases'!$D$2:$D$323,A11,'All Cases'!$F$2:$F$323,"Other/Unknown")</f>
        <v>0</v>
      </c>
    </row>
    <row r="12" customFormat="false" ht="15" hidden="false" customHeight="false" outlineLevel="0" collapsed="false">
      <c r="A12" s="11" t="s">
        <v>980</v>
      </c>
      <c r="B12" s="11" t="n">
        <f aca="false">COUNTIF('All Cases'!$D$2:$D$323,A12)</f>
        <v>5</v>
      </c>
      <c r="C12" s="11" t="n">
        <f aca="false">COUNTIFS('All Cases'!$D$2:$D$323,A12,'All Cases'!$F$2:$F$323,"Dismissed/Withdrawn")</f>
        <v>4</v>
      </c>
      <c r="D12" s="11" t="n">
        <f aca="false">COUNTIFS('All Cases'!$D$2:$D$323,A12,'All Cases'!$F$2:$F$323,"Default Judgment")</f>
        <v>0</v>
      </c>
      <c r="E12" s="11" t="n">
        <f aca="false">COUNTIFS('All Cases'!$D$2:$D$323,A12,'All Cases'!$F$2:$F$323,"Active")</f>
        <v>0</v>
      </c>
      <c r="F12" s="11" t="n">
        <f aca="false">COUNTIFS('All Cases'!$D$2:$D$323,A12,'All Cases'!$F$2:$F$323,"Merits/Judgment")</f>
        <v>1</v>
      </c>
      <c r="G12" s="11" t="n">
        <f aca="false">COUNTIFS('All Cases'!$D$2:$D$323,A12,'All Cases'!$F$2:$F$323,"Other/Unknown")</f>
        <v>0</v>
      </c>
    </row>
    <row r="13" customFormat="false" ht="15" hidden="false" customHeight="false" outlineLevel="0" collapsed="false">
      <c r="A13" s="12" t="s">
        <v>1243</v>
      </c>
      <c r="B13" s="12" t="n">
        <f aca="false">COUNTIF('All Cases'!$D$2:$D$323,A13)</f>
        <v>5</v>
      </c>
      <c r="C13" s="12" t="n">
        <f aca="false">COUNTIFS('All Cases'!$D$2:$D$323,A13,'All Cases'!$F$2:$F$323,"Dismissed/Withdrawn")</f>
        <v>3</v>
      </c>
      <c r="D13" s="12" t="n">
        <f aca="false">COUNTIFS('All Cases'!$D$2:$D$323,A13,'All Cases'!$F$2:$F$323,"Default Judgment")</f>
        <v>1</v>
      </c>
      <c r="E13" s="12" t="n">
        <f aca="false">COUNTIFS('All Cases'!$D$2:$D$323,A13,'All Cases'!$F$2:$F$323,"Active")</f>
        <v>0</v>
      </c>
      <c r="F13" s="12" t="n">
        <f aca="false">COUNTIFS('All Cases'!$D$2:$D$323,A13,'All Cases'!$F$2:$F$323,"Merits/Judgment")</f>
        <v>0</v>
      </c>
      <c r="G13" s="12" t="n">
        <f aca="false">COUNTIFS('All Cases'!$D$2:$D$323,A13,'All Cases'!$F$2:$F$323,"Other/Unknown")</f>
        <v>1</v>
      </c>
    </row>
    <row r="14" customFormat="false" ht="15" hidden="false" customHeight="false" outlineLevel="0" collapsed="false">
      <c r="A14" s="11" t="s">
        <v>1200</v>
      </c>
      <c r="B14" s="11" t="n">
        <f aca="false">COUNTIF('All Cases'!$D$2:$D$323,A14)</f>
        <v>5</v>
      </c>
      <c r="C14" s="11" t="n">
        <f aca="false">COUNTIFS('All Cases'!$D$2:$D$323,A14,'All Cases'!$F$2:$F$323,"Dismissed/Withdrawn")</f>
        <v>4</v>
      </c>
      <c r="D14" s="11" t="n">
        <f aca="false">COUNTIFS('All Cases'!$D$2:$D$323,A14,'All Cases'!$F$2:$F$323,"Default Judgment")</f>
        <v>0</v>
      </c>
      <c r="E14" s="11" t="n">
        <f aca="false">COUNTIFS('All Cases'!$D$2:$D$323,A14,'All Cases'!$F$2:$F$323,"Active")</f>
        <v>0</v>
      </c>
      <c r="F14" s="11" t="n">
        <f aca="false">COUNTIFS('All Cases'!$D$2:$D$323,A14,'All Cases'!$F$2:$F$323,"Merits/Judgment")</f>
        <v>1</v>
      </c>
      <c r="G14" s="11" t="n">
        <f aca="false">COUNTIFS('All Cases'!$D$2:$D$323,A14,'All Cases'!$F$2:$F$323,"Other/Unknown")</f>
        <v>0</v>
      </c>
    </row>
    <row r="15" customFormat="false" ht="15" hidden="false" customHeight="false" outlineLevel="0" collapsed="false">
      <c r="A15" s="12" t="s">
        <v>1163</v>
      </c>
      <c r="B15" s="12" t="n">
        <f aca="false">COUNTIF('All Cases'!$D$2:$D$323,A15)</f>
        <v>5</v>
      </c>
      <c r="C15" s="12" t="n">
        <f aca="false">COUNTIFS('All Cases'!$D$2:$D$323,A15,'All Cases'!$F$2:$F$323,"Dismissed/Withdrawn")</f>
        <v>4</v>
      </c>
      <c r="D15" s="12" t="n">
        <f aca="false">COUNTIFS('All Cases'!$D$2:$D$323,A15,'All Cases'!$F$2:$F$323,"Default Judgment")</f>
        <v>1</v>
      </c>
      <c r="E15" s="12" t="n">
        <f aca="false">COUNTIFS('All Cases'!$D$2:$D$323,A15,'All Cases'!$F$2:$F$323,"Active")</f>
        <v>0</v>
      </c>
      <c r="F15" s="12" t="n">
        <f aca="false">COUNTIFS('All Cases'!$D$2:$D$323,A15,'All Cases'!$F$2:$F$323,"Merits/Judgment")</f>
        <v>0</v>
      </c>
      <c r="G15" s="12" t="n">
        <f aca="false">COUNTIFS('All Cases'!$D$2:$D$323,A15,'All Cases'!$F$2:$F$323,"Other/Unknown")</f>
        <v>0</v>
      </c>
    </row>
    <row r="16" customFormat="false" ht="15" hidden="false" customHeight="false" outlineLevel="0" collapsed="false">
      <c r="A16" s="11" t="s">
        <v>539</v>
      </c>
      <c r="B16" s="11" t="n">
        <f aca="false">COUNTIF('All Cases'!$D$2:$D$323,A16)</f>
        <v>5</v>
      </c>
      <c r="C16" s="11" t="n">
        <f aca="false">COUNTIFS('All Cases'!$D$2:$D$323,A16,'All Cases'!$F$2:$F$323,"Dismissed/Withdrawn")</f>
        <v>5</v>
      </c>
      <c r="D16" s="11" t="n">
        <f aca="false">COUNTIFS('All Cases'!$D$2:$D$323,A16,'All Cases'!$F$2:$F$323,"Default Judgment")</f>
        <v>0</v>
      </c>
      <c r="E16" s="11" t="n">
        <f aca="false">COUNTIFS('All Cases'!$D$2:$D$323,A16,'All Cases'!$F$2:$F$323,"Active")</f>
        <v>0</v>
      </c>
      <c r="F16" s="11" t="n">
        <f aca="false">COUNTIFS('All Cases'!$D$2:$D$323,A16,'All Cases'!$F$2:$F$323,"Merits/Judgment")</f>
        <v>0</v>
      </c>
      <c r="G16" s="11" t="n">
        <f aca="false">COUNTIFS('All Cases'!$D$2:$D$323,A16,'All Cases'!$F$2:$F$323,"Other/Unknown")</f>
        <v>0</v>
      </c>
    </row>
    <row r="17" customFormat="false" ht="15" hidden="false" customHeight="false" outlineLevel="0" collapsed="false">
      <c r="A17" s="12" t="s">
        <v>1223</v>
      </c>
      <c r="B17" s="12" t="n">
        <f aca="false">COUNTIF('All Cases'!$D$2:$D$323,A17)</f>
        <v>5</v>
      </c>
      <c r="C17" s="12" t="n">
        <f aca="false">COUNTIFS('All Cases'!$D$2:$D$323,A17,'All Cases'!$F$2:$F$323,"Dismissed/Withdrawn")</f>
        <v>2</v>
      </c>
      <c r="D17" s="12" t="n">
        <f aca="false">COUNTIFS('All Cases'!$D$2:$D$323,A17,'All Cases'!$F$2:$F$323,"Default Judgment")</f>
        <v>2</v>
      </c>
      <c r="E17" s="12" t="n">
        <f aca="false">COUNTIFS('All Cases'!$D$2:$D$323,A17,'All Cases'!$F$2:$F$323,"Active")</f>
        <v>0</v>
      </c>
      <c r="F17" s="12" t="n">
        <f aca="false">COUNTIFS('All Cases'!$D$2:$D$323,A17,'All Cases'!$F$2:$F$323,"Merits/Judgment")</f>
        <v>0</v>
      </c>
      <c r="G17" s="12" t="n">
        <f aca="false">COUNTIFS('All Cases'!$D$2:$D$323,A17,'All Cases'!$F$2:$F$323,"Other/Unknown")</f>
        <v>1</v>
      </c>
    </row>
    <row r="18" customFormat="false" ht="15" hidden="false" customHeight="false" outlineLevel="0" collapsed="false">
      <c r="A18" s="11" t="s">
        <v>70</v>
      </c>
      <c r="B18" s="11" t="n">
        <f aca="false">COUNTIF('All Cases'!$D$2:$D$323,A18)</f>
        <v>5</v>
      </c>
      <c r="C18" s="11" t="n">
        <f aca="false">COUNTIFS('All Cases'!$D$2:$D$323,A18,'All Cases'!$F$2:$F$323,"Dismissed/Withdrawn")</f>
        <v>4</v>
      </c>
      <c r="D18" s="11" t="n">
        <f aca="false">COUNTIFS('All Cases'!$D$2:$D$323,A18,'All Cases'!$F$2:$F$323,"Default Judgment")</f>
        <v>1</v>
      </c>
      <c r="E18" s="11" t="n">
        <f aca="false">COUNTIFS('All Cases'!$D$2:$D$323,A18,'All Cases'!$F$2:$F$323,"Active")</f>
        <v>0</v>
      </c>
      <c r="F18" s="11" t="n">
        <f aca="false">COUNTIFS('All Cases'!$D$2:$D$323,A18,'All Cases'!$F$2:$F$323,"Merits/Judgment")</f>
        <v>0</v>
      </c>
      <c r="G18" s="11" t="n">
        <f aca="false">COUNTIFS('All Cases'!$D$2:$D$323,A18,'All Cases'!$F$2:$F$323,"Other/Unknown")</f>
        <v>0</v>
      </c>
    </row>
    <row r="19" customFormat="false" ht="15" hidden="false" customHeight="false" outlineLevel="0" collapsed="false">
      <c r="A19" s="12" t="s">
        <v>511</v>
      </c>
      <c r="B19" s="12" t="n">
        <f aca="false">COUNTIF('All Cases'!$D$2:$D$323,A19)</f>
        <v>5</v>
      </c>
      <c r="C19" s="12" t="n">
        <f aca="false">COUNTIFS('All Cases'!$D$2:$D$323,A19,'All Cases'!$F$2:$F$323,"Dismissed/Withdrawn")</f>
        <v>3</v>
      </c>
      <c r="D19" s="12" t="n">
        <f aca="false">COUNTIFS('All Cases'!$D$2:$D$323,A19,'All Cases'!$F$2:$F$323,"Default Judgment")</f>
        <v>0</v>
      </c>
      <c r="E19" s="12" t="n">
        <f aca="false">COUNTIFS('All Cases'!$D$2:$D$323,A19,'All Cases'!$F$2:$F$323,"Active")</f>
        <v>2</v>
      </c>
      <c r="F19" s="12" t="n">
        <f aca="false">COUNTIFS('All Cases'!$D$2:$D$323,A19,'All Cases'!$F$2:$F$323,"Merits/Judgment")</f>
        <v>0</v>
      </c>
      <c r="G19" s="12" t="n">
        <f aca="false">COUNTIFS('All Cases'!$D$2:$D$323,A19,'All Cases'!$F$2:$F$323,"Other/Unknown")</f>
        <v>0</v>
      </c>
    </row>
    <row r="20" customFormat="false" ht="15" hidden="false" customHeight="false" outlineLevel="0" collapsed="false">
      <c r="A20" s="11" t="s">
        <v>1313</v>
      </c>
      <c r="B20" s="11" t="n">
        <f aca="false">COUNTIF('All Cases'!$D$2:$D$323,A20)</f>
        <v>4</v>
      </c>
      <c r="C20" s="11" t="n">
        <f aca="false">COUNTIFS('All Cases'!$D$2:$D$323,A20,'All Cases'!$F$2:$F$323,"Dismissed/Withdrawn")</f>
        <v>3</v>
      </c>
      <c r="D20" s="11" t="n">
        <f aca="false">COUNTIFS('All Cases'!$D$2:$D$323,A20,'All Cases'!$F$2:$F$323,"Default Judgment")</f>
        <v>1</v>
      </c>
      <c r="E20" s="11" t="n">
        <f aca="false">COUNTIFS('All Cases'!$D$2:$D$323,A20,'All Cases'!$F$2:$F$323,"Active")</f>
        <v>0</v>
      </c>
      <c r="F20" s="11" t="n">
        <f aca="false">COUNTIFS('All Cases'!$D$2:$D$323,A20,'All Cases'!$F$2:$F$323,"Merits/Judgment")</f>
        <v>0</v>
      </c>
      <c r="G20" s="11" t="n">
        <f aca="false">COUNTIFS('All Cases'!$D$2:$D$323,A20,'All Cases'!$F$2:$F$323,"Other/Unknown")</f>
        <v>0</v>
      </c>
    </row>
    <row r="21" customFormat="false" ht="15" hidden="false" customHeight="false" outlineLevel="0" collapsed="false">
      <c r="A21" s="12" t="s">
        <v>330</v>
      </c>
      <c r="B21" s="12" t="n">
        <f aca="false">COUNTIF('All Cases'!$D$2:$D$323,A21)</f>
        <v>4</v>
      </c>
      <c r="C21" s="12" t="n">
        <f aca="false">COUNTIFS('All Cases'!$D$2:$D$323,A21,'All Cases'!$F$2:$F$323,"Dismissed/Withdrawn")</f>
        <v>3</v>
      </c>
      <c r="D21" s="12" t="n">
        <f aca="false">COUNTIFS('All Cases'!$D$2:$D$323,A21,'All Cases'!$F$2:$F$323,"Default Judgment")</f>
        <v>1</v>
      </c>
      <c r="E21" s="12" t="n">
        <f aca="false">COUNTIFS('All Cases'!$D$2:$D$323,A21,'All Cases'!$F$2:$F$323,"Active")</f>
        <v>0</v>
      </c>
      <c r="F21" s="12" t="n">
        <f aca="false">COUNTIFS('All Cases'!$D$2:$D$323,A21,'All Cases'!$F$2:$F$323,"Merits/Judgment")</f>
        <v>0</v>
      </c>
      <c r="G21" s="12" t="n">
        <f aca="false">COUNTIFS('All Cases'!$D$2:$D$323,A21,'All Cases'!$F$2:$F$323,"Other/Unknown")</f>
        <v>0</v>
      </c>
    </row>
    <row r="22" customFormat="false" ht="15" hidden="false" customHeight="false" outlineLevel="0" collapsed="false">
      <c r="A22" s="11" t="s">
        <v>1513</v>
      </c>
      <c r="B22" s="11" t="n">
        <f aca="false">COUNTIF('All Cases'!$D$2:$D$323,A22)</f>
        <v>4</v>
      </c>
      <c r="C22" s="11" t="n">
        <f aca="false">COUNTIFS('All Cases'!$D$2:$D$323,A22,'All Cases'!$F$2:$F$323,"Dismissed/Withdrawn")</f>
        <v>4</v>
      </c>
      <c r="D22" s="11" t="n">
        <f aca="false">COUNTIFS('All Cases'!$D$2:$D$323,A22,'All Cases'!$F$2:$F$323,"Default Judgment")</f>
        <v>0</v>
      </c>
      <c r="E22" s="11" t="n">
        <f aca="false">COUNTIFS('All Cases'!$D$2:$D$323,A22,'All Cases'!$F$2:$F$323,"Active")</f>
        <v>0</v>
      </c>
      <c r="F22" s="11" t="n">
        <f aca="false">COUNTIFS('All Cases'!$D$2:$D$323,A22,'All Cases'!$F$2:$F$323,"Merits/Judgment")</f>
        <v>0</v>
      </c>
      <c r="G22" s="11" t="n">
        <f aca="false">COUNTIFS('All Cases'!$D$2:$D$323,A22,'All Cases'!$F$2:$F$323,"Other/Unknown")</f>
        <v>0</v>
      </c>
    </row>
    <row r="23" customFormat="false" ht="15" hidden="false" customHeight="false" outlineLevel="0" collapsed="false">
      <c r="A23" s="12" t="s">
        <v>1282</v>
      </c>
      <c r="B23" s="12" t="n">
        <f aca="false">COUNTIF('All Cases'!$D$2:$D$323,A23)</f>
        <v>4</v>
      </c>
      <c r="C23" s="12" t="n">
        <f aca="false">COUNTIFS('All Cases'!$D$2:$D$323,A23,'All Cases'!$F$2:$F$323,"Dismissed/Withdrawn")</f>
        <v>3</v>
      </c>
      <c r="D23" s="12" t="n">
        <f aca="false">COUNTIFS('All Cases'!$D$2:$D$323,A23,'All Cases'!$F$2:$F$323,"Default Judgment")</f>
        <v>0</v>
      </c>
      <c r="E23" s="12" t="n">
        <f aca="false">COUNTIFS('All Cases'!$D$2:$D$323,A23,'All Cases'!$F$2:$F$323,"Active")</f>
        <v>0</v>
      </c>
      <c r="F23" s="12" t="n">
        <f aca="false">COUNTIFS('All Cases'!$D$2:$D$323,A23,'All Cases'!$F$2:$F$323,"Merits/Judgment")</f>
        <v>0</v>
      </c>
      <c r="G23" s="12" t="n">
        <f aca="false">COUNTIFS('All Cases'!$D$2:$D$323,A23,'All Cases'!$F$2:$F$323,"Other/Unknown")</f>
        <v>1</v>
      </c>
    </row>
    <row r="24" customFormat="false" ht="15" hidden="false" customHeight="false" outlineLevel="0" collapsed="false">
      <c r="A24" s="11" t="s">
        <v>216</v>
      </c>
      <c r="B24" s="11" t="n">
        <f aca="false">COUNTIF('All Cases'!$D$2:$D$323,A24)</f>
        <v>4</v>
      </c>
      <c r="C24" s="11" t="n">
        <f aca="false">COUNTIFS('All Cases'!$D$2:$D$323,A24,'All Cases'!$F$2:$F$323,"Dismissed/Withdrawn")</f>
        <v>2</v>
      </c>
      <c r="D24" s="11" t="n">
        <f aca="false">COUNTIFS('All Cases'!$D$2:$D$323,A24,'All Cases'!$F$2:$F$323,"Default Judgment")</f>
        <v>0</v>
      </c>
      <c r="E24" s="11" t="n">
        <f aca="false">COUNTIFS('All Cases'!$D$2:$D$323,A24,'All Cases'!$F$2:$F$323,"Active")</f>
        <v>2</v>
      </c>
      <c r="F24" s="11" t="n">
        <f aca="false">COUNTIFS('All Cases'!$D$2:$D$323,A24,'All Cases'!$F$2:$F$323,"Merits/Judgment")</f>
        <v>0</v>
      </c>
      <c r="G24" s="11" t="n">
        <f aca="false">COUNTIFS('All Cases'!$D$2:$D$323,A24,'All Cases'!$F$2:$F$323,"Other/Unknown")</f>
        <v>0</v>
      </c>
    </row>
    <row r="25" customFormat="false" ht="15" hidden="false" customHeight="false" outlineLevel="0" collapsed="false">
      <c r="A25" s="12" t="s">
        <v>710</v>
      </c>
      <c r="B25" s="12" t="n">
        <f aca="false">COUNTIF('All Cases'!$D$2:$D$323,A25)</f>
        <v>4</v>
      </c>
      <c r="C25" s="12" t="n">
        <f aca="false">COUNTIFS('All Cases'!$D$2:$D$323,A25,'All Cases'!$F$2:$F$323,"Dismissed/Withdrawn")</f>
        <v>3</v>
      </c>
      <c r="D25" s="12" t="n">
        <f aca="false">COUNTIFS('All Cases'!$D$2:$D$323,A25,'All Cases'!$F$2:$F$323,"Default Judgment")</f>
        <v>0</v>
      </c>
      <c r="E25" s="12" t="n">
        <f aca="false">COUNTIFS('All Cases'!$D$2:$D$323,A25,'All Cases'!$F$2:$F$323,"Active")</f>
        <v>0</v>
      </c>
      <c r="F25" s="12" t="n">
        <f aca="false">COUNTIFS('All Cases'!$D$2:$D$323,A25,'All Cases'!$F$2:$F$323,"Merits/Judgment")</f>
        <v>0</v>
      </c>
      <c r="G25" s="12" t="n">
        <f aca="false">COUNTIFS('All Cases'!$D$2:$D$323,A25,'All Cases'!$F$2:$F$323,"Other/Unknown")</f>
        <v>1</v>
      </c>
    </row>
    <row r="26" customFormat="false" ht="15" hidden="false" customHeight="false" outlineLevel="0" collapsed="false">
      <c r="A26" s="11" t="s">
        <v>1058</v>
      </c>
      <c r="B26" s="11" t="n">
        <f aca="false">COUNTIF('All Cases'!$D$2:$D$323,A26)</f>
        <v>4</v>
      </c>
      <c r="C26" s="11" t="n">
        <f aca="false">COUNTIFS('All Cases'!$D$2:$D$323,A26,'All Cases'!$F$2:$F$323,"Dismissed/Withdrawn")</f>
        <v>2</v>
      </c>
      <c r="D26" s="11" t="n">
        <f aca="false">COUNTIFS('All Cases'!$D$2:$D$323,A26,'All Cases'!$F$2:$F$323,"Default Judgment")</f>
        <v>0</v>
      </c>
      <c r="E26" s="11" t="n">
        <f aca="false">COUNTIFS('All Cases'!$D$2:$D$323,A26,'All Cases'!$F$2:$F$323,"Active")</f>
        <v>0</v>
      </c>
      <c r="F26" s="11" t="n">
        <f aca="false">COUNTIFS('All Cases'!$D$2:$D$323,A26,'All Cases'!$F$2:$F$323,"Merits/Judgment")</f>
        <v>1</v>
      </c>
      <c r="G26" s="11" t="n">
        <f aca="false">COUNTIFS('All Cases'!$D$2:$D$323,A26,'All Cases'!$F$2:$F$323,"Other/Unknown")</f>
        <v>1</v>
      </c>
    </row>
    <row r="27" customFormat="false" ht="15" hidden="false" customHeight="false" outlineLevel="0" collapsed="false">
      <c r="A27" s="12" t="s">
        <v>888</v>
      </c>
      <c r="B27" s="12" t="n">
        <f aca="false">COUNTIF('All Cases'!$D$2:$D$323,A27)</f>
        <v>4</v>
      </c>
      <c r="C27" s="12" t="n">
        <f aca="false">COUNTIFS('All Cases'!$D$2:$D$323,A27,'All Cases'!$F$2:$F$323,"Dismissed/Withdrawn")</f>
        <v>2</v>
      </c>
      <c r="D27" s="12" t="n">
        <f aca="false">COUNTIFS('All Cases'!$D$2:$D$323,A27,'All Cases'!$F$2:$F$323,"Default Judgment")</f>
        <v>0</v>
      </c>
      <c r="E27" s="12" t="n">
        <f aca="false">COUNTIFS('All Cases'!$D$2:$D$323,A27,'All Cases'!$F$2:$F$323,"Active")</f>
        <v>2</v>
      </c>
      <c r="F27" s="12" t="n">
        <f aca="false">COUNTIFS('All Cases'!$D$2:$D$323,A27,'All Cases'!$F$2:$F$323,"Merits/Judgment")</f>
        <v>0</v>
      </c>
      <c r="G27" s="12" t="n">
        <f aca="false">COUNTIFS('All Cases'!$D$2:$D$323,A27,'All Cases'!$F$2:$F$323,"Other/Unknown")</f>
        <v>0</v>
      </c>
    </row>
    <row r="28" customFormat="false" ht="15" hidden="false" customHeight="false" outlineLevel="0" collapsed="false">
      <c r="A28" s="11" t="s">
        <v>295</v>
      </c>
      <c r="B28" s="11" t="n">
        <f aca="false">COUNTIF('All Cases'!$D$2:$D$323,A28)</f>
        <v>3</v>
      </c>
      <c r="C28" s="11" t="n">
        <f aca="false">COUNTIFS('All Cases'!$D$2:$D$323,A28,'All Cases'!$F$2:$F$323,"Dismissed/Withdrawn")</f>
        <v>3</v>
      </c>
      <c r="D28" s="11" t="n">
        <f aca="false">COUNTIFS('All Cases'!$D$2:$D$323,A28,'All Cases'!$F$2:$F$323,"Default Judgment")</f>
        <v>0</v>
      </c>
      <c r="E28" s="11" t="n">
        <f aca="false">COUNTIFS('All Cases'!$D$2:$D$323,A28,'All Cases'!$F$2:$F$323,"Active")</f>
        <v>0</v>
      </c>
      <c r="F28" s="11" t="n">
        <f aca="false">COUNTIFS('All Cases'!$D$2:$D$323,A28,'All Cases'!$F$2:$F$323,"Merits/Judgment")</f>
        <v>0</v>
      </c>
      <c r="G28" s="11" t="n">
        <f aca="false">COUNTIFS('All Cases'!$D$2:$D$323,A28,'All Cases'!$F$2:$F$323,"Other/Unknown")</f>
        <v>0</v>
      </c>
    </row>
    <row r="29" customFormat="false" ht="15" hidden="false" customHeight="false" outlineLevel="0" collapsed="false">
      <c r="A29" s="12" t="s">
        <v>39</v>
      </c>
      <c r="B29" s="12" t="n">
        <f aca="false">COUNTIF('All Cases'!$D$2:$D$323,A29)</f>
        <v>3</v>
      </c>
      <c r="C29" s="12" t="n">
        <f aca="false">COUNTIFS('All Cases'!$D$2:$D$323,A29,'All Cases'!$F$2:$F$323,"Dismissed/Withdrawn")</f>
        <v>3</v>
      </c>
      <c r="D29" s="12" t="n">
        <f aca="false">COUNTIFS('All Cases'!$D$2:$D$323,A29,'All Cases'!$F$2:$F$323,"Default Judgment")</f>
        <v>0</v>
      </c>
      <c r="E29" s="12" t="n">
        <f aca="false">COUNTIFS('All Cases'!$D$2:$D$323,A29,'All Cases'!$F$2:$F$323,"Active")</f>
        <v>0</v>
      </c>
      <c r="F29" s="12" t="n">
        <f aca="false">COUNTIFS('All Cases'!$D$2:$D$323,A29,'All Cases'!$F$2:$F$323,"Merits/Judgment")</f>
        <v>0</v>
      </c>
      <c r="G29" s="12" t="n">
        <f aca="false">COUNTIFS('All Cases'!$D$2:$D$323,A29,'All Cases'!$F$2:$F$323,"Other/Unknown")</f>
        <v>0</v>
      </c>
    </row>
    <row r="30" customFormat="false" ht="15" hidden="false" customHeight="false" outlineLevel="0" collapsed="false">
      <c r="A30" s="11" t="s">
        <v>1107</v>
      </c>
      <c r="B30" s="11" t="n">
        <f aca="false">COUNTIF('All Cases'!$D$2:$D$323,A30)</f>
        <v>3</v>
      </c>
      <c r="C30" s="11" t="n">
        <f aca="false">COUNTIFS('All Cases'!$D$2:$D$323,A30,'All Cases'!$F$2:$F$323,"Dismissed/Withdrawn")</f>
        <v>2</v>
      </c>
      <c r="D30" s="11" t="n">
        <f aca="false">COUNTIFS('All Cases'!$D$2:$D$323,A30,'All Cases'!$F$2:$F$323,"Default Judgment")</f>
        <v>1</v>
      </c>
      <c r="E30" s="11" t="n">
        <f aca="false">COUNTIFS('All Cases'!$D$2:$D$323,A30,'All Cases'!$F$2:$F$323,"Active")</f>
        <v>0</v>
      </c>
      <c r="F30" s="11" t="n">
        <f aca="false">COUNTIFS('All Cases'!$D$2:$D$323,A30,'All Cases'!$F$2:$F$323,"Merits/Judgment")</f>
        <v>0</v>
      </c>
      <c r="G30" s="11" t="n">
        <f aca="false">COUNTIFS('All Cases'!$D$2:$D$323,A30,'All Cases'!$F$2:$F$323,"Other/Unknown")</f>
        <v>0</v>
      </c>
    </row>
    <row r="31" customFormat="false" ht="15" hidden="false" customHeight="false" outlineLevel="0" collapsed="false">
      <c r="A31" s="12" t="s">
        <v>490</v>
      </c>
      <c r="B31" s="12" t="n">
        <f aca="false">COUNTIF('All Cases'!$D$2:$D$323,A31)</f>
        <v>3</v>
      </c>
      <c r="C31" s="12" t="n">
        <f aca="false">COUNTIFS('All Cases'!$D$2:$D$323,A31,'All Cases'!$F$2:$F$323,"Dismissed/Withdrawn")</f>
        <v>3</v>
      </c>
      <c r="D31" s="12" t="n">
        <f aca="false">COUNTIFS('All Cases'!$D$2:$D$323,A31,'All Cases'!$F$2:$F$323,"Default Judgment")</f>
        <v>0</v>
      </c>
      <c r="E31" s="12" t="n">
        <f aca="false">COUNTIFS('All Cases'!$D$2:$D$323,A31,'All Cases'!$F$2:$F$323,"Active")</f>
        <v>0</v>
      </c>
      <c r="F31" s="12" t="n">
        <f aca="false">COUNTIFS('All Cases'!$D$2:$D$323,A31,'All Cases'!$F$2:$F$323,"Merits/Judgment")</f>
        <v>0</v>
      </c>
      <c r="G31" s="12" t="n">
        <f aca="false">COUNTIFS('All Cases'!$D$2:$D$323,A31,'All Cases'!$F$2:$F$323,"Other/Unknown")</f>
        <v>0</v>
      </c>
    </row>
    <row r="32" customFormat="false" ht="15" hidden="false" customHeight="false" outlineLevel="0" collapsed="false">
      <c r="A32" s="11" t="s">
        <v>160</v>
      </c>
      <c r="B32" s="11" t="n">
        <f aca="false">COUNTIF('All Cases'!$D$2:$D$323,A32)</f>
        <v>3</v>
      </c>
      <c r="C32" s="11" t="n">
        <f aca="false">COUNTIFS('All Cases'!$D$2:$D$323,A32,'All Cases'!$F$2:$F$323,"Dismissed/Withdrawn")</f>
        <v>2</v>
      </c>
      <c r="D32" s="11" t="n">
        <f aca="false">COUNTIFS('All Cases'!$D$2:$D$323,A32,'All Cases'!$F$2:$F$323,"Default Judgment")</f>
        <v>0</v>
      </c>
      <c r="E32" s="11" t="n">
        <f aca="false">COUNTIFS('All Cases'!$D$2:$D$323,A32,'All Cases'!$F$2:$F$323,"Active")</f>
        <v>0</v>
      </c>
      <c r="F32" s="11" t="n">
        <f aca="false">COUNTIFS('All Cases'!$D$2:$D$323,A32,'All Cases'!$F$2:$F$323,"Merits/Judgment")</f>
        <v>1</v>
      </c>
      <c r="G32" s="11" t="n">
        <f aca="false">COUNTIFS('All Cases'!$D$2:$D$323,A32,'All Cases'!$F$2:$F$323,"Other/Unknown")</f>
        <v>0</v>
      </c>
    </row>
    <row r="33" customFormat="false" ht="15" hidden="false" customHeight="false" outlineLevel="0" collapsed="false">
      <c r="A33" s="12" t="s">
        <v>109</v>
      </c>
      <c r="B33" s="12" t="n">
        <f aca="false">COUNTIF('All Cases'!$D$2:$D$323,A33)</f>
        <v>3</v>
      </c>
      <c r="C33" s="12" t="n">
        <f aca="false">COUNTIFS('All Cases'!$D$2:$D$323,A33,'All Cases'!$F$2:$F$323,"Dismissed/Withdrawn")</f>
        <v>2</v>
      </c>
      <c r="D33" s="12" t="n">
        <f aca="false">COUNTIFS('All Cases'!$D$2:$D$323,A33,'All Cases'!$F$2:$F$323,"Default Judgment")</f>
        <v>0</v>
      </c>
      <c r="E33" s="12" t="n">
        <f aca="false">COUNTIFS('All Cases'!$D$2:$D$323,A33,'All Cases'!$F$2:$F$323,"Active")</f>
        <v>0</v>
      </c>
      <c r="F33" s="12" t="n">
        <f aca="false">COUNTIFS('All Cases'!$D$2:$D$323,A33,'All Cases'!$F$2:$F$323,"Merits/Judgment")</f>
        <v>1</v>
      </c>
      <c r="G33" s="12" t="n">
        <f aca="false">COUNTIFS('All Cases'!$D$2:$D$323,A33,'All Cases'!$F$2:$F$323,"Other/Unknown")</f>
        <v>0</v>
      </c>
    </row>
    <row r="34" customFormat="false" ht="15" hidden="false" customHeight="false" outlineLevel="0" collapsed="false">
      <c r="A34" s="11" t="s">
        <v>1499</v>
      </c>
      <c r="B34" s="11" t="n">
        <f aca="false">COUNTIF('All Cases'!$D$2:$D$323,A34)</f>
        <v>3</v>
      </c>
      <c r="C34" s="11" t="n">
        <f aca="false">COUNTIFS('All Cases'!$D$2:$D$323,A34,'All Cases'!$F$2:$F$323,"Dismissed/Withdrawn")</f>
        <v>2</v>
      </c>
      <c r="D34" s="11" t="n">
        <f aca="false">COUNTIFS('All Cases'!$D$2:$D$323,A34,'All Cases'!$F$2:$F$323,"Default Judgment")</f>
        <v>0</v>
      </c>
      <c r="E34" s="11" t="n">
        <f aca="false">COUNTIFS('All Cases'!$D$2:$D$323,A34,'All Cases'!$F$2:$F$323,"Active")</f>
        <v>0</v>
      </c>
      <c r="F34" s="11" t="n">
        <f aca="false">COUNTIFS('All Cases'!$D$2:$D$323,A34,'All Cases'!$F$2:$F$323,"Merits/Judgment")</f>
        <v>0</v>
      </c>
      <c r="G34" s="11" t="n">
        <f aca="false">COUNTIFS('All Cases'!$D$2:$D$323,A34,'All Cases'!$F$2:$F$323,"Other/Unknown")</f>
        <v>1</v>
      </c>
    </row>
    <row r="35" customFormat="false" ht="15" hidden="false" customHeight="false" outlineLevel="0" collapsed="false">
      <c r="A35" s="12" t="s">
        <v>1084</v>
      </c>
      <c r="B35" s="12" t="n">
        <f aca="false">COUNTIF('All Cases'!$D$2:$D$323,A35)</f>
        <v>3</v>
      </c>
      <c r="C35" s="12" t="n">
        <f aca="false">COUNTIFS('All Cases'!$D$2:$D$323,A35,'All Cases'!$F$2:$F$323,"Dismissed/Withdrawn")</f>
        <v>2</v>
      </c>
      <c r="D35" s="12" t="n">
        <f aca="false">COUNTIFS('All Cases'!$D$2:$D$323,A35,'All Cases'!$F$2:$F$323,"Default Judgment")</f>
        <v>0</v>
      </c>
      <c r="E35" s="12" t="n">
        <f aca="false">COUNTIFS('All Cases'!$D$2:$D$323,A35,'All Cases'!$F$2:$F$323,"Active")</f>
        <v>0</v>
      </c>
      <c r="F35" s="12" t="n">
        <f aca="false">COUNTIFS('All Cases'!$D$2:$D$323,A35,'All Cases'!$F$2:$F$323,"Merits/Judgment")</f>
        <v>0</v>
      </c>
      <c r="G35" s="12" t="n">
        <f aca="false">COUNTIFS('All Cases'!$D$2:$D$323,A35,'All Cases'!$F$2:$F$323,"Other/Unknown")</f>
        <v>1</v>
      </c>
    </row>
    <row r="36" customFormat="false" ht="15" hidden="false" customHeight="false" outlineLevel="0" collapsed="false">
      <c r="A36" s="11" t="s">
        <v>594</v>
      </c>
      <c r="B36" s="11" t="n">
        <f aca="false">COUNTIF('All Cases'!$D$2:$D$323,A36)</f>
        <v>3</v>
      </c>
      <c r="C36" s="11" t="n">
        <f aca="false">COUNTIFS('All Cases'!$D$2:$D$323,A36,'All Cases'!$F$2:$F$323,"Dismissed/Withdrawn")</f>
        <v>1</v>
      </c>
      <c r="D36" s="11" t="n">
        <f aca="false">COUNTIFS('All Cases'!$D$2:$D$323,A36,'All Cases'!$F$2:$F$323,"Default Judgment")</f>
        <v>0</v>
      </c>
      <c r="E36" s="11" t="n">
        <f aca="false">COUNTIFS('All Cases'!$D$2:$D$323,A36,'All Cases'!$F$2:$F$323,"Active")</f>
        <v>2</v>
      </c>
      <c r="F36" s="11" t="n">
        <f aca="false">COUNTIFS('All Cases'!$D$2:$D$323,A36,'All Cases'!$F$2:$F$323,"Merits/Judgment")</f>
        <v>0</v>
      </c>
      <c r="G36" s="11" t="n">
        <f aca="false">COUNTIFS('All Cases'!$D$2:$D$323,A36,'All Cases'!$F$2:$F$323,"Other/Unknown")</f>
        <v>0</v>
      </c>
    </row>
    <row r="37" customFormat="false" ht="15" hidden="false" customHeight="false" outlineLevel="0" collapsed="false">
      <c r="A37" s="12" t="s">
        <v>1453</v>
      </c>
      <c r="B37" s="12" t="n">
        <f aca="false">COUNTIF('All Cases'!$D$2:$D$323,A37)</f>
        <v>3</v>
      </c>
      <c r="C37" s="12" t="n">
        <f aca="false">COUNTIFS('All Cases'!$D$2:$D$323,A37,'All Cases'!$F$2:$F$323,"Dismissed/Withdrawn")</f>
        <v>1</v>
      </c>
      <c r="D37" s="12" t="n">
        <f aca="false">COUNTIFS('All Cases'!$D$2:$D$323,A37,'All Cases'!$F$2:$F$323,"Default Judgment")</f>
        <v>0</v>
      </c>
      <c r="E37" s="12" t="n">
        <f aca="false">COUNTIFS('All Cases'!$D$2:$D$323,A37,'All Cases'!$F$2:$F$323,"Active")</f>
        <v>2</v>
      </c>
      <c r="F37" s="12" t="n">
        <f aca="false">COUNTIFS('All Cases'!$D$2:$D$323,A37,'All Cases'!$F$2:$F$323,"Merits/Judgment")</f>
        <v>0</v>
      </c>
      <c r="G37" s="12" t="n">
        <f aca="false">COUNTIFS('All Cases'!$D$2:$D$323,A37,'All Cases'!$F$2:$F$323,"Other/Unknown")</f>
        <v>0</v>
      </c>
    </row>
    <row r="38" customFormat="false" ht="15" hidden="false" customHeight="false" outlineLevel="0" collapsed="false">
      <c r="A38" s="11" t="s">
        <v>869</v>
      </c>
      <c r="B38" s="11" t="n">
        <f aca="false">COUNTIF('All Cases'!$D$2:$D$323,A38)</f>
        <v>3</v>
      </c>
      <c r="C38" s="11" t="n">
        <f aca="false">COUNTIFS('All Cases'!$D$2:$D$323,A38,'All Cases'!$F$2:$F$323,"Dismissed/Withdrawn")</f>
        <v>2</v>
      </c>
      <c r="D38" s="11" t="n">
        <f aca="false">COUNTIFS('All Cases'!$D$2:$D$323,A38,'All Cases'!$F$2:$F$323,"Default Judgment")</f>
        <v>0</v>
      </c>
      <c r="E38" s="11" t="n">
        <f aca="false">COUNTIFS('All Cases'!$D$2:$D$323,A38,'All Cases'!$F$2:$F$323,"Active")</f>
        <v>1</v>
      </c>
      <c r="F38" s="11" t="n">
        <f aca="false">COUNTIFS('All Cases'!$D$2:$D$323,A38,'All Cases'!$F$2:$F$323,"Merits/Judgment")</f>
        <v>0</v>
      </c>
      <c r="G38" s="11" t="n">
        <f aca="false">COUNTIFS('All Cases'!$D$2:$D$323,A38,'All Cases'!$F$2:$F$323,"Other/Unknown")</f>
        <v>0</v>
      </c>
    </row>
    <row r="39" customFormat="false" ht="15" hidden="false" customHeight="false" outlineLevel="0" collapsed="false">
      <c r="A39" s="12" t="s">
        <v>579</v>
      </c>
      <c r="B39" s="12" t="n">
        <f aca="false">COUNTIF('All Cases'!$D$2:$D$323,A39)</f>
        <v>3</v>
      </c>
      <c r="C39" s="12" t="n">
        <f aca="false">COUNTIFS('All Cases'!$D$2:$D$323,A39,'All Cases'!$F$2:$F$323,"Dismissed/Withdrawn")</f>
        <v>2</v>
      </c>
      <c r="D39" s="12" t="n">
        <f aca="false">COUNTIFS('All Cases'!$D$2:$D$323,A39,'All Cases'!$F$2:$F$323,"Default Judgment")</f>
        <v>0</v>
      </c>
      <c r="E39" s="12" t="n">
        <f aca="false">COUNTIFS('All Cases'!$D$2:$D$323,A39,'All Cases'!$F$2:$F$323,"Active")</f>
        <v>0</v>
      </c>
      <c r="F39" s="12" t="n">
        <f aca="false">COUNTIFS('All Cases'!$D$2:$D$323,A39,'All Cases'!$F$2:$F$323,"Merits/Judgment")</f>
        <v>0</v>
      </c>
      <c r="G39" s="12" t="n">
        <f aca="false">COUNTIFS('All Cases'!$D$2:$D$323,A39,'All Cases'!$F$2:$F$323,"Other/Unknown")</f>
        <v>1</v>
      </c>
    </row>
    <row r="40" customFormat="false" ht="15" hidden="false" customHeight="false" outlineLevel="0" collapsed="false">
      <c r="A40" s="11" t="s">
        <v>779</v>
      </c>
      <c r="B40" s="11" t="n">
        <f aca="false">COUNTIF('All Cases'!$D$2:$D$323,A40)</f>
        <v>2</v>
      </c>
      <c r="C40" s="11" t="n">
        <f aca="false">COUNTIFS('All Cases'!$D$2:$D$323,A40,'All Cases'!$F$2:$F$323,"Dismissed/Withdrawn")</f>
        <v>1</v>
      </c>
      <c r="D40" s="11" t="n">
        <f aca="false">COUNTIFS('All Cases'!$D$2:$D$323,A40,'All Cases'!$F$2:$F$323,"Default Judgment")</f>
        <v>1</v>
      </c>
      <c r="E40" s="11" t="n">
        <f aca="false">COUNTIFS('All Cases'!$D$2:$D$323,A40,'All Cases'!$F$2:$F$323,"Active")</f>
        <v>0</v>
      </c>
      <c r="F40" s="11" t="n">
        <f aca="false">COUNTIFS('All Cases'!$D$2:$D$323,A40,'All Cases'!$F$2:$F$323,"Merits/Judgment")</f>
        <v>0</v>
      </c>
      <c r="G40" s="11" t="n">
        <f aca="false">COUNTIFS('All Cases'!$D$2:$D$323,A40,'All Cases'!$F$2:$F$323,"Other/Unknown")</f>
        <v>0</v>
      </c>
    </row>
    <row r="41" customFormat="false" ht="15" hidden="false" customHeight="false" outlineLevel="0" collapsed="false">
      <c r="A41" s="12" t="s">
        <v>132</v>
      </c>
      <c r="B41" s="12" t="n">
        <f aca="false">COUNTIF('All Cases'!$D$2:$D$323,A41)</f>
        <v>2</v>
      </c>
      <c r="C41" s="12" t="n">
        <f aca="false">COUNTIFS('All Cases'!$D$2:$D$323,A41,'All Cases'!$F$2:$F$323,"Dismissed/Withdrawn")</f>
        <v>2</v>
      </c>
      <c r="D41" s="12" t="n">
        <f aca="false">COUNTIFS('All Cases'!$D$2:$D$323,A41,'All Cases'!$F$2:$F$323,"Default Judgment")</f>
        <v>0</v>
      </c>
      <c r="E41" s="12" t="n">
        <f aca="false">COUNTIFS('All Cases'!$D$2:$D$323,A41,'All Cases'!$F$2:$F$323,"Active")</f>
        <v>0</v>
      </c>
      <c r="F41" s="12" t="n">
        <f aca="false">COUNTIFS('All Cases'!$D$2:$D$323,A41,'All Cases'!$F$2:$F$323,"Merits/Judgment")</f>
        <v>0</v>
      </c>
      <c r="G41" s="12" t="n">
        <f aca="false">COUNTIFS('All Cases'!$D$2:$D$323,A41,'All Cases'!$F$2:$F$323,"Other/Unknown")</f>
        <v>0</v>
      </c>
    </row>
    <row r="42" customFormat="false" ht="15" hidden="false" customHeight="false" outlineLevel="0" collapsed="false">
      <c r="A42" s="11" t="s">
        <v>788</v>
      </c>
      <c r="B42" s="11" t="n">
        <f aca="false">COUNTIF('All Cases'!$D$2:$D$323,A42)</f>
        <v>2</v>
      </c>
      <c r="C42" s="11" t="n">
        <f aca="false">COUNTIFS('All Cases'!$D$2:$D$323,A42,'All Cases'!$F$2:$F$323,"Dismissed/Withdrawn")</f>
        <v>1</v>
      </c>
      <c r="D42" s="11" t="n">
        <f aca="false">COUNTIFS('All Cases'!$D$2:$D$323,A42,'All Cases'!$F$2:$F$323,"Default Judgment")</f>
        <v>0</v>
      </c>
      <c r="E42" s="11" t="n">
        <f aca="false">COUNTIFS('All Cases'!$D$2:$D$323,A42,'All Cases'!$F$2:$F$323,"Active")</f>
        <v>1</v>
      </c>
      <c r="F42" s="11" t="n">
        <f aca="false">COUNTIFS('All Cases'!$D$2:$D$323,A42,'All Cases'!$F$2:$F$323,"Merits/Judgment")</f>
        <v>0</v>
      </c>
      <c r="G42" s="11" t="n">
        <f aca="false">COUNTIFS('All Cases'!$D$2:$D$323,A42,'All Cases'!$F$2:$F$323,"Other/Unknown")</f>
        <v>0</v>
      </c>
    </row>
    <row r="43" customFormat="false" ht="15" hidden="false" customHeight="false" outlineLevel="0" collapsed="false">
      <c r="A43" s="12" t="s">
        <v>238</v>
      </c>
      <c r="B43" s="12" t="n">
        <f aca="false">COUNTIF('All Cases'!$D$2:$D$323,A43)</f>
        <v>2</v>
      </c>
      <c r="C43" s="12" t="n">
        <f aca="false">COUNTIFS('All Cases'!$D$2:$D$323,A43,'All Cases'!$F$2:$F$323,"Dismissed/Withdrawn")</f>
        <v>1</v>
      </c>
      <c r="D43" s="12" t="n">
        <f aca="false">COUNTIFS('All Cases'!$D$2:$D$323,A43,'All Cases'!$F$2:$F$323,"Default Judgment")</f>
        <v>0</v>
      </c>
      <c r="E43" s="12" t="n">
        <f aca="false">COUNTIFS('All Cases'!$D$2:$D$323,A43,'All Cases'!$F$2:$F$323,"Active")</f>
        <v>0</v>
      </c>
      <c r="F43" s="12" t="n">
        <f aca="false">COUNTIFS('All Cases'!$D$2:$D$323,A43,'All Cases'!$F$2:$F$323,"Merits/Judgment")</f>
        <v>0</v>
      </c>
      <c r="G43" s="12" t="n">
        <f aca="false">COUNTIFS('All Cases'!$D$2:$D$323,A43,'All Cases'!$F$2:$F$323,"Other/Unknown")</f>
        <v>1</v>
      </c>
    </row>
    <row r="44" customFormat="false" ht="15" hidden="false" customHeight="false" outlineLevel="0" collapsed="false">
      <c r="A44" s="11" t="s">
        <v>642</v>
      </c>
      <c r="B44" s="11" t="n">
        <f aca="false">COUNTIF('All Cases'!$D$2:$D$323,A44)</f>
        <v>2</v>
      </c>
      <c r="C44" s="11" t="n">
        <f aca="false">COUNTIFS('All Cases'!$D$2:$D$323,A44,'All Cases'!$F$2:$F$323,"Dismissed/Withdrawn")</f>
        <v>1</v>
      </c>
      <c r="D44" s="11" t="n">
        <f aca="false">COUNTIFS('All Cases'!$D$2:$D$323,A44,'All Cases'!$F$2:$F$323,"Default Judgment")</f>
        <v>0</v>
      </c>
      <c r="E44" s="11" t="n">
        <f aca="false">COUNTIFS('All Cases'!$D$2:$D$323,A44,'All Cases'!$F$2:$F$323,"Active")</f>
        <v>0</v>
      </c>
      <c r="F44" s="11" t="n">
        <f aca="false">COUNTIFS('All Cases'!$D$2:$D$323,A44,'All Cases'!$F$2:$F$323,"Merits/Judgment")</f>
        <v>0</v>
      </c>
      <c r="G44" s="11" t="n">
        <f aca="false">COUNTIFS('All Cases'!$D$2:$D$323,A44,'All Cases'!$F$2:$F$323,"Other/Unknown")</f>
        <v>1</v>
      </c>
    </row>
    <row r="45" customFormat="false" ht="15" hidden="false" customHeight="false" outlineLevel="0" collapsed="false">
      <c r="A45" s="12" t="s">
        <v>607</v>
      </c>
      <c r="B45" s="12" t="n">
        <f aca="false">COUNTIF('All Cases'!$D$2:$D$323,A45)</f>
        <v>2</v>
      </c>
      <c r="C45" s="12" t="n">
        <f aca="false">COUNTIFS('All Cases'!$D$2:$D$323,A45,'All Cases'!$F$2:$F$323,"Dismissed/Withdrawn")</f>
        <v>1</v>
      </c>
      <c r="D45" s="12" t="n">
        <f aca="false">COUNTIFS('All Cases'!$D$2:$D$323,A45,'All Cases'!$F$2:$F$323,"Default Judgment")</f>
        <v>0</v>
      </c>
      <c r="E45" s="12" t="n">
        <f aca="false">COUNTIFS('All Cases'!$D$2:$D$323,A45,'All Cases'!$F$2:$F$323,"Active")</f>
        <v>1</v>
      </c>
      <c r="F45" s="12" t="n">
        <f aca="false">COUNTIFS('All Cases'!$D$2:$D$323,A45,'All Cases'!$F$2:$F$323,"Merits/Judgment")</f>
        <v>0</v>
      </c>
      <c r="G45" s="12" t="n">
        <f aca="false">COUNTIFS('All Cases'!$D$2:$D$323,A45,'All Cases'!$F$2:$F$323,"Other/Unknown")</f>
        <v>0</v>
      </c>
    </row>
    <row r="46" customFormat="false" ht="15" hidden="false" customHeight="false" outlineLevel="0" collapsed="false">
      <c r="A46" s="11" t="s">
        <v>1273</v>
      </c>
      <c r="B46" s="11" t="n">
        <f aca="false">COUNTIF('All Cases'!$D$2:$D$323,A46)</f>
        <v>2</v>
      </c>
      <c r="C46" s="11" t="n">
        <f aca="false">COUNTIFS('All Cases'!$D$2:$D$323,A46,'All Cases'!$F$2:$F$323,"Dismissed/Withdrawn")</f>
        <v>2</v>
      </c>
      <c r="D46" s="11" t="n">
        <f aca="false">COUNTIFS('All Cases'!$D$2:$D$323,A46,'All Cases'!$F$2:$F$323,"Default Judgment")</f>
        <v>0</v>
      </c>
      <c r="E46" s="11" t="n">
        <f aca="false">COUNTIFS('All Cases'!$D$2:$D$323,A46,'All Cases'!$F$2:$F$323,"Active")</f>
        <v>0</v>
      </c>
      <c r="F46" s="11" t="n">
        <f aca="false">COUNTIFS('All Cases'!$D$2:$D$323,A46,'All Cases'!$F$2:$F$323,"Merits/Judgment")</f>
        <v>0</v>
      </c>
      <c r="G46" s="11" t="n">
        <f aca="false">COUNTIFS('All Cases'!$D$2:$D$323,A46,'All Cases'!$F$2:$F$323,"Other/Unknown")</f>
        <v>0</v>
      </c>
    </row>
    <row r="47" customFormat="false" ht="15" hidden="false" customHeight="false" outlineLevel="0" collapsed="false">
      <c r="A47" s="12" t="s">
        <v>631</v>
      </c>
      <c r="B47" s="12" t="n">
        <f aca="false">COUNTIF('All Cases'!$D$2:$D$323,A47)</f>
        <v>2</v>
      </c>
      <c r="C47" s="12" t="n">
        <f aca="false">COUNTIFS('All Cases'!$D$2:$D$323,A47,'All Cases'!$F$2:$F$323,"Dismissed/Withdrawn")</f>
        <v>0</v>
      </c>
      <c r="D47" s="12" t="n">
        <f aca="false">COUNTIFS('All Cases'!$D$2:$D$323,A47,'All Cases'!$F$2:$F$323,"Default Judgment")</f>
        <v>1</v>
      </c>
      <c r="E47" s="12" t="n">
        <f aca="false">COUNTIFS('All Cases'!$D$2:$D$323,A47,'All Cases'!$F$2:$F$323,"Active")</f>
        <v>1</v>
      </c>
      <c r="F47" s="12" t="n">
        <f aca="false">COUNTIFS('All Cases'!$D$2:$D$323,A47,'All Cases'!$F$2:$F$323,"Merits/Judgment")</f>
        <v>0</v>
      </c>
      <c r="G47" s="12" t="n">
        <f aca="false">COUNTIFS('All Cases'!$D$2:$D$323,A47,'All Cases'!$F$2:$F$323,"Other/Unknown")</f>
        <v>0</v>
      </c>
    </row>
    <row r="48" customFormat="false" ht="15" hidden="false" customHeight="false" outlineLevel="0" collapsed="false">
      <c r="A48" s="11" t="s">
        <v>1135</v>
      </c>
      <c r="B48" s="11" t="n">
        <f aca="false">COUNTIF('All Cases'!$D$2:$D$323,A48)</f>
        <v>2</v>
      </c>
      <c r="C48" s="11" t="n">
        <f aca="false">COUNTIFS('All Cases'!$D$2:$D$323,A48,'All Cases'!$F$2:$F$323,"Dismissed/Withdrawn")</f>
        <v>2</v>
      </c>
      <c r="D48" s="11" t="n">
        <f aca="false">COUNTIFS('All Cases'!$D$2:$D$323,A48,'All Cases'!$F$2:$F$323,"Default Judgment")</f>
        <v>0</v>
      </c>
      <c r="E48" s="11" t="n">
        <f aca="false">COUNTIFS('All Cases'!$D$2:$D$323,A48,'All Cases'!$F$2:$F$323,"Active")</f>
        <v>0</v>
      </c>
      <c r="F48" s="11" t="n">
        <f aca="false">COUNTIFS('All Cases'!$D$2:$D$323,A48,'All Cases'!$F$2:$F$323,"Merits/Judgment")</f>
        <v>0</v>
      </c>
      <c r="G48" s="11" t="n">
        <f aca="false">COUNTIFS('All Cases'!$D$2:$D$323,A48,'All Cases'!$F$2:$F$323,"Other/Unknown")</f>
        <v>0</v>
      </c>
    </row>
    <row r="49" customFormat="false" ht="15" hidden="false" customHeight="false" outlineLevel="0" collapsed="false">
      <c r="A49" s="12" t="s">
        <v>621</v>
      </c>
      <c r="B49" s="12" t="n">
        <f aca="false">COUNTIF('All Cases'!$D$2:$D$323,A49)</f>
        <v>2</v>
      </c>
      <c r="C49" s="12" t="n">
        <f aca="false">COUNTIFS('All Cases'!$D$2:$D$323,A49,'All Cases'!$F$2:$F$323,"Dismissed/Withdrawn")</f>
        <v>2</v>
      </c>
      <c r="D49" s="12" t="n">
        <f aca="false">COUNTIFS('All Cases'!$D$2:$D$323,A49,'All Cases'!$F$2:$F$323,"Default Judgment")</f>
        <v>0</v>
      </c>
      <c r="E49" s="12" t="n">
        <f aca="false">COUNTIFS('All Cases'!$D$2:$D$323,A49,'All Cases'!$F$2:$F$323,"Active")</f>
        <v>0</v>
      </c>
      <c r="F49" s="12" t="n">
        <f aca="false">COUNTIFS('All Cases'!$D$2:$D$323,A49,'All Cases'!$F$2:$F$323,"Merits/Judgment")</f>
        <v>0</v>
      </c>
      <c r="G49" s="12" t="n">
        <f aca="false">COUNTIFS('All Cases'!$D$2:$D$323,A49,'All Cases'!$F$2:$F$323,"Other/Unknown")</f>
        <v>0</v>
      </c>
    </row>
    <row r="50" customFormat="false" ht="15" hidden="false" customHeight="false" outlineLevel="0" collapsed="false">
      <c r="A50" s="11" t="s">
        <v>1353</v>
      </c>
      <c r="B50" s="11" t="n">
        <f aca="false">COUNTIF('All Cases'!$D$2:$D$323,A50)</f>
        <v>2</v>
      </c>
      <c r="C50" s="11" t="n">
        <f aca="false">COUNTIFS('All Cases'!$D$2:$D$323,A50,'All Cases'!$F$2:$F$323,"Dismissed/Withdrawn")</f>
        <v>1</v>
      </c>
      <c r="D50" s="11" t="n">
        <f aca="false">COUNTIFS('All Cases'!$D$2:$D$323,A50,'All Cases'!$F$2:$F$323,"Default Judgment")</f>
        <v>0</v>
      </c>
      <c r="E50" s="11" t="n">
        <f aca="false">COUNTIFS('All Cases'!$D$2:$D$323,A50,'All Cases'!$F$2:$F$323,"Active")</f>
        <v>1</v>
      </c>
      <c r="F50" s="11" t="n">
        <f aca="false">COUNTIFS('All Cases'!$D$2:$D$323,A50,'All Cases'!$F$2:$F$323,"Merits/Judgment")</f>
        <v>0</v>
      </c>
      <c r="G50" s="11" t="n">
        <f aca="false">COUNTIFS('All Cases'!$D$2:$D$323,A50,'All Cases'!$F$2:$F$323,"Other/Unknown")</f>
        <v>0</v>
      </c>
    </row>
    <row r="51" customFormat="false" ht="15" hidden="false" customHeight="false" outlineLevel="0" collapsed="false">
      <c r="A51" s="12" t="s">
        <v>315</v>
      </c>
      <c r="B51" s="12" t="n">
        <f aca="false">COUNTIF('All Cases'!$D$2:$D$323,A51)</f>
        <v>2</v>
      </c>
      <c r="C51" s="12" t="n">
        <f aca="false">COUNTIFS('All Cases'!$D$2:$D$323,A51,'All Cases'!$F$2:$F$323,"Dismissed/Withdrawn")</f>
        <v>1</v>
      </c>
      <c r="D51" s="12" t="n">
        <f aca="false">COUNTIFS('All Cases'!$D$2:$D$323,A51,'All Cases'!$F$2:$F$323,"Default Judgment")</f>
        <v>0</v>
      </c>
      <c r="E51" s="12" t="n">
        <f aca="false">COUNTIFS('All Cases'!$D$2:$D$323,A51,'All Cases'!$F$2:$F$323,"Active")</f>
        <v>0</v>
      </c>
      <c r="F51" s="12" t="n">
        <f aca="false">COUNTIFS('All Cases'!$D$2:$D$323,A51,'All Cases'!$F$2:$F$323,"Merits/Judgment")</f>
        <v>0</v>
      </c>
      <c r="G51" s="12" t="n">
        <f aca="false">COUNTIFS('All Cases'!$D$2:$D$323,A51,'All Cases'!$F$2:$F$323,"Other/Unknown")</f>
        <v>1</v>
      </c>
    </row>
    <row r="52" customFormat="false" ht="15" hidden="false" customHeight="false" outlineLevel="0" collapsed="false">
      <c r="A52" s="11" t="s">
        <v>1480</v>
      </c>
      <c r="B52" s="11" t="n">
        <f aca="false">COUNTIF('All Cases'!$D$2:$D$323,A52)</f>
        <v>2</v>
      </c>
      <c r="C52" s="11" t="n">
        <f aca="false">COUNTIFS('All Cases'!$D$2:$D$323,A52,'All Cases'!$F$2:$F$323,"Dismissed/Withdrawn")</f>
        <v>2</v>
      </c>
      <c r="D52" s="11" t="n">
        <f aca="false">COUNTIFS('All Cases'!$D$2:$D$323,A52,'All Cases'!$F$2:$F$323,"Default Judgment")</f>
        <v>0</v>
      </c>
      <c r="E52" s="11" t="n">
        <f aca="false">COUNTIFS('All Cases'!$D$2:$D$323,A52,'All Cases'!$F$2:$F$323,"Active")</f>
        <v>0</v>
      </c>
      <c r="F52" s="11" t="n">
        <f aca="false">COUNTIFS('All Cases'!$D$2:$D$323,A52,'All Cases'!$F$2:$F$323,"Merits/Judgment")</f>
        <v>0</v>
      </c>
      <c r="G52" s="11" t="n">
        <f aca="false">COUNTIFS('All Cases'!$D$2:$D$323,A52,'All Cases'!$F$2:$F$323,"Other/Unknown")</f>
        <v>0</v>
      </c>
    </row>
    <row r="53" customFormat="false" ht="15" hidden="false" customHeight="false" outlineLevel="0" collapsed="false">
      <c r="A53" s="12" t="s">
        <v>1045</v>
      </c>
      <c r="B53" s="12" t="n">
        <f aca="false">COUNTIF('All Cases'!$D$2:$D$323,A53)</f>
        <v>2</v>
      </c>
      <c r="C53" s="12" t="n">
        <f aca="false">COUNTIFS('All Cases'!$D$2:$D$323,A53,'All Cases'!$F$2:$F$323,"Dismissed/Withdrawn")</f>
        <v>1</v>
      </c>
      <c r="D53" s="12" t="n">
        <f aca="false">COUNTIFS('All Cases'!$D$2:$D$323,A53,'All Cases'!$F$2:$F$323,"Default Judgment")</f>
        <v>0</v>
      </c>
      <c r="E53" s="12" t="n">
        <f aca="false">COUNTIFS('All Cases'!$D$2:$D$323,A53,'All Cases'!$F$2:$F$323,"Active")</f>
        <v>0</v>
      </c>
      <c r="F53" s="12" t="n">
        <f aca="false">COUNTIFS('All Cases'!$D$2:$D$323,A53,'All Cases'!$F$2:$F$323,"Merits/Judgment")</f>
        <v>0</v>
      </c>
      <c r="G53" s="12" t="n">
        <f aca="false">COUNTIFS('All Cases'!$D$2:$D$323,A53,'All Cases'!$F$2:$F$323,"Other/Unknown")</f>
        <v>1</v>
      </c>
    </row>
    <row r="54" customFormat="false" ht="15" hidden="false" customHeight="false" outlineLevel="0" collapsed="false">
      <c r="A54" s="11" t="s">
        <v>1471</v>
      </c>
      <c r="B54" s="11" t="n">
        <f aca="false">COUNTIF('All Cases'!$D$2:$D$323,A54)</f>
        <v>2</v>
      </c>
      <c r="C54" s="11" t="n">
        <f aca="false">COUNTIFS('All Cases'!$D$2:$D$323,A54,'All Cases'!$F$2:$F$323,"Dismissed/Withdrawn")</f>
        <v>2</v>
      </c>
      <c r="D54" s="11" t="n">
        <f aca="false">COUNTIFS('All Cases'!$D$2:$D$323,A54,'All Cases'!$F$2:$F$323,"Default Judgment")</f>
        <v>0</v>
      </c>
      <c r="E54" s="11" t="n">
        <f aca="false">COUNTIFS('All Cases'!$D$2:$D$323,A54,'All Cases'!$F$2:$F$323,"Active")</f>
        <v>0</v>
      </c>
      <c r="F54" s="11" t="n">
        <f aca="false">COUNTIFS('All Cases'!$D$2:$D$323,A54,'All Cases'!$F$2:$F$323,"Merits/Judgment")</f>
        <v>0</v>
      </c>
      <c r="G54" s="11" t="n">
        <f aca="false">COUNTIFS('All Cases'!$D$2:$D$323,A54,'All Cases'!$F$2:$F$323,"Other/Unknown")</f>
        <v>0</v>
      </c>
    </row>
    <row r="55" customFormat="false" ht="15" hidden="false" customHeight="false" outlineLevel="0" collapsed="false">
      <c r="A55" s="12" t="s">
        <v>1419</v>
      </c>
      <c r="B55" s="12" t="n">
        <f aca="false">COUNTIF('All Cases'!$D$2:$D$323,A55)</f>
        <v>2</v>
      </c>
      <c r="C55" s="12" t="n">
        <f aca="false">COUNTIFS('All Cases'!$D$2:$D$323,A55,'All Cases'!$F$2:$F$323,"Dismissed/Withdrawn")</f>
        <v>1</v>
      </c>
      <c r="D55" s="12" t="n">
        <f aca="false">COUNTIFS('All Cases'!$D$2:$D$323,A55,'All Cases'!$F$2:$F$323,"Default Judgment")</f>
        <v>0</v>
      </c>
      <c r="E55" s="12" t="n">
        <f aca="false">COUNTIFS('All Cases'!$D$2:$D$323,A55,'All Cases'!$F$2:$F$323,"Active")</f>
        <v>1</v>
      </c>
      <c r="F55" s="12" t="n">
        <f aca="false">COUNTIFS('All Cases'!$D$2:$D$323,A55,'All Cases'!$F$2:$F$323,"Merits/Judgment")</f>
        <v>0</v>
      </c>
      <c r="G55" s="12" t="n">
        <f aca="false">COUNTIFS('All Cases'!$D$2:$D$323,A55,'All Cases'!$F$2:$F$323,"Other/Unknown")</f>
        <v>0</v>
      </c>
    </row>
    <row r="56" customFormat="false" ht="15" hidden="false" customHeight="false" outlineLevel="0" collapsed="false">
      <c r="A56" s="11" t="s">
        <v>569</v>
      </c>
      <c r="B56" s="11" t="n">
        <f aca="false">COUNTIF('All Cases'!$D$2:$D$323,A56)</f>
        <v>2</v>
      </c>
      <c r="C56" s="11" t="n">
        <f aca="false">COUNTIFS('All Cases'!$D$2:$D$323,A56,'All Cases'!$F$2:$F$323,"Dismissed/Withdrawn")</f>
        <v>0</v>
      </c>
      <c r="D56" s="11" t="n">
        <f aca="false">COUNTIFS('All Cases'!$D$2:$D$323,A56,'All Cases'!$F$2:$F$323,"Default Judgment")</f>
        <v>0</v>
      </c>
      <c r="E56" s="11" t="n">
        <f aca="false">COUNTIFS('All Cases'!$D$2:$D$323,A56,'All Cases'!$F$2:$F$323,"Active")</f>
        <v>0</v>
      </c>
      <c r="F56" s="11" t="n">
        <f aca="false">COUNTIFS('All Cases'!$D$2:$D$323,A56,'All Cases'!$F$2:$F$323,"Merits/Judgment")</f>
        <v>1</v>
      </c>
      <c r="G56" s="11" t="n">
        <f aca="false">COUNTIFS('All Cases'!$D$2:$D$323,A56,'All Cases'!$F$2:$F$323,"Other/Unknown")</f>
        <v>1</v>
      </c>
    </row>
    <row r="57" customFormat="false" ht="15" hidden="false" customHeight="false" outlineLevel="0" collapsed="false">
      <c r="A57" s="12" t="s">
        <v>806</v>
      </c>
      <c r="B57" s="12" t="n">
        <f aca="false">COUNTIF('All Cases'!$D$2:$D$323,A57)</f>
        <v>2</v>
      </c>
      <c r="C57" s="12" t="n">
        <f aca="false">COUNTIFS('All Cases'!$D$2:$D$323,A57,'All Cases'!$F$2:$F$323,"Dismissed/Withdrawn")</f>
        <v>1</v>
      </c>
      <c r="D57" s="12" t="n">
        <f aca="false">COUNTIFS('All Cases'!$D$2:$D$323,A57,'All Cases'!$F$2:$F$323,"Default Judgment")</f>
        <v>1</v>
      </c>
      <c r="E57" s="12" t="n">
        <f aca="false">COUNTIFS('All Cases'!$D$2:$D$323,A57,'All Cases'!$F$2:$F$323,"Active")</f>
        <v>0</v>
      </c>
      <c r="F57" s="12" t="n">
        <f aca="false">COUNTIFS('All Cases'!$D$2:$D$323,A57,'All Cases'!$F$2:$F$323,"Merits/Judgment")</f>
        <v>0</v>
      </c>
      <c r="G57" s="12" t="n">
        <f aca="false">COUNTIFS('All Cases'!$D$2:$D$323,A57,'All Cases'!$F$2:$F$323,"Other/Unknown")</f>
        <v>0</v>
      </c>
    </row>
    <row r="58" customFormat="false" ht="15" hidden="false" customHeight="false" outlineLevel="0" collapsed="false">
      <c r="A58" s="11" t="s">
        <v>282</v>
      </c>
      <c r="B58" s="11" t="n">
        <f aca="false">COUNTIF('All Cases'!$D$2:$D$323,A58)</f>
        <v>2</v>
      </c>
      <c r="C58" s="11" t="n">
        <f aca="false">COUNTIFS('All Cases'!$D$2:$D$323,A58,'All Cases'!$F$2:$F$323,"Dismissed/Withdrawn")</f>
        <v>0</v>
      </c>
      <c r="D58" s="11" t="n">
        <f aca="false">COUNTIFS('All Cases'!$D$2:$D$323,A58,'All Cases'!$F$2:$F$323,"Default Judgment")</f>
        <v>1</v>
      </c>
      <c r="E58" s="11" t="n">
        <f aca="false">COUNTIFS('All Cases'!$D$2:$D$323,A58,'All Cases'!$F$2:$F$323,"Active")</f>
        <v>0</v>
      </c>
      <c r="F58" s="11" t="n">
        <f aca="false">COUNTIFS('All Cases'!$D$2:$D$323,A58,'All Cases'!$F$2:$F$323,"Merits/Judgment")</f>
        <v>0</v>
      </c>
      <c r="G58" s="11" t="n">
        <f aca="false">COUNTIFS('All Cases'!$D$2:$D$323,A58,'All Cases'!$F$2:$F$323,"Other/Unknown")</f>
        <v>1</v>
      </c>
    </row>
    <row r="59" customFormat="false" ht="15" hidden="false" customHeight="false" outlineLevel="0" collapsed="false">
      <c r="A59" s="12" t="s">
        <v>820</v>
      </c>
      <c r="B59" s="12" t="n">
        <f aca="false">COUNTIF('All Cases'!$D$2:$D$323,A59)</f>
        <v>2</v>
      </c>
      <c r="C59" s="12" t="n">
        <f aca="false">COUNTIFS('All Cases'!$D$2:$D$323,A59,'All Cases'!$F$2:$F$323,"Dismissed/Withdrawn")</f>
        <v>0</v>
      </c>
      <c r="D59" s="12" t="n">
        <f aca="false">COUNTIFS('All Cases'!$D$2:$D$323,A59,'All Cases'!$F$2:$F$323,"Default Judgment")</f>
        <v>0</v>
      </c>
      <c r="E59" s="12" t="n">
        <f aca="false">COUNTIFS('All Cases'!$D$2:$D$323,A59,'All Cases'!$F$2:$F$323,"Active")</f>
        <v>2</v>
      </c>
      <c r="F59" s="12" t="n">
        <f aca="false">COUNTIFS('All Cases'!$D$2:$D$323,A59,'All Cases'!$F$2:$F$323,"Merits/Judgment")</f>
        <v>0</v>
      </c>
      <c r="G59" s="12" t="n">
        <f aca="false">COUNTIFS('All Cases'!$D$2:$D$323,A59,'All Cases'!$F$2:$F$323,"Other/Unknown")</f>
        <v>0</v>
      </c>
    </row>
    <row r="60" customFormat="false" ht="15" hidden="false" customHeight="false" outlineLevel="0" collapsed="false">
      <c r="A60" s="11" t="s">
        <v>855</v>
      </c>
      <c r="B60" s="11" t="n">
        <f aca="false">COUNTIF('All Cases'!$D$2:$D$323,A60)</f>
        <v>2</v>
      </c>
      <c r="C60" s="11" t="n">
        <f aca="false">COUNTIFS('All Cases'!$D$2:$D$323,A60,'All Cases'!$F$2:$F$323,"Dismissed/Withdrawn")</f>
        <v>2</v>
      </c>
      <c r="D60" s="11" t="n">
        <f aca="false">COUNTIFS('All Cases'!$D$2:$D$323,A60,'All Cases'!$F$2:$F$323,"Default Judgment")</f>
        <v>0</v>
      </c>
      <c r="E60" s="11" t="n">
        <f aca="false">COUNTIFS('All Cases'!$D$2:$D$323,A60,'All Cases'!$F$2:$F$323,"Active")</f>
        <v>0</v>
      </c>
      <c r="F60" s="11" t="n">
        <f aca="false">COUNTIFS('All Cases'!$D$2:$D$323,A60,'All Cases'!$F$2:$F$323,"Merits/Judgment")</f>
        <v>0</v>
      </c>
      <c r="G60" s="11" t="n">
        <f aca="false">COUNTIFS('All Cases'!$D$2:$D$323,A60,'All Cases'!$F$2:$F$323,"Other/Unknown")</f>
        <v>0</v>
      </c>
    </row>
    <row r="61" customFormat="false" ht="15" hidden="false" customHeight="false" outlineLevel="0" collapsed="false">
      <c r="A61" s="12" t="s">
        <v>357</v>
      </c>
      <c r="B61" s="12" t="n">
        <f aca="false">COUNTIF('All Cases'!$D$2:$D$323,A61)</f>
        <v>2</v>
      </c>
      <c r="C61" s="12" t="n">
        <f aca="false">COUNTIFS('All Cases'!$D$2:$D$323,A61,'All Cases'!$F$2:$F$323,"Dismissed/Withdrawn")</f>
        <v>0</v>
      </c>
      <c r="D61" s="12" t="n">
        <f aca="false">COUNTIFS('All Cases'!$D$2:$D$323,A61,'All Cases'!$F$2:$F$323,"Default Judgment")</f>
        <v>0</v>
      </c>
      <c r="E61" s="12" t="n">
        <f aca="false">COUNTIFS('All Cases'!$D$2:$D$323,A61,'All Cases'!$F$2:$F$323,"Active")</f>
        <v>1</v>
      </c>
      <c r="F61" s="12" t="n">
        <f aca="false">COUNTIFS('All Cases'!$D$2:$D$323,A61,'All Cases'!$F$2:$F$323,"Merits/Judgment")</f>
        <v>0</v>
      </c>
      <c r="G61" s="12" t="n">
        <f aca="false">COUNTIFS('All Cases'!$D$2:$D$323,A61,'All Cases'!$F$2:$F$323,"Other/Unknown")</f>
        <v>1</v>
      </c>
    </row>
    <row r="62" customFormat="false" ht="15" hidden="false" customHeight="false" outlineLevel="0" collapsed="false">
      <c r="A62" s="11" t="s">
        <v>175</v>
      </c>
      <c r="B62" s="11" t="n">
        <f aca="false">COUNTIF('All Cases'!$D$2:$D$323,A62)</f>
        <v>2</v>
      </c>
      <c r="C62" s="11" t="n">
        <f aca="false">COUNTIFS('All Cases'!$D$2:$D$323,A62,'All Cases'!$F$2:$F$323,"Dismissed/Withdrawn")</f>
        <v>1</v>
      </c>
      <c r="D62" s="11" t="n">
        <f aca="false">COUNTIFS('All Cases'!$D$2:$D$323,A62,'All Cases'!$F$2:$F$323,"Default Judgment")</f>
        <v>1</v>
      </c>
      <c r="E62" s="11" t="n">
        <f aca="false">COUNTIFS('All Cases'!$D$2:$D$323,A62,'All Cases'!$F$2:$F$323,"Active")</f>
        <v>0</v>
      </c>
      <c r="F62" s="11" t="n">
        <f aca="false">COUNTIFS('All Cases'!$D$2:$D$323,A62,'All Cases'!$F$2:$F$323,"Merits/Judgment")</f>
        <v>0</v>
      </c>
      <c r="G62" s="11" t="n">
        <f aca="false">COUNTIFS('All Cases'!$D$2:$D$323,A62,'All Cases'!$F$2:$F$323,"Other/Unknown")</f>
        <v>0</v>
      </c>
    </row>
    <row r="63" customFormat="false" ht="15" hidden="false" customHeight="false" outlineLevel="0" collapsed="false">
      <c r="A63" s="12" t="s">
        <v>366</v>
      </c>
      <c r="B63" s="12" t="n">
        <f aca="false">COUNTIF('All Cases'!$D$2:$D$323,A63)</f>
        <v>2</v>
      </c>
      <c r="C63" s="12" t="n">
        <f aca="false">COUNTIFS('All Cases'!$D$2:$D$323,A63,'All Cases'!$F$2:$F$323,"Dismissed/Withdrawn")</f>
        <v>1</v>
      </c>
      <c r="D63" s="12" t="n">
        <f aca="false">COUNTIFS('All Cases'!$D$2:$D$323,A63,'All Cases'!$F$2:$F$323,"Default Judgment")</f>
        <v>0</v>
      </c>
      <c r="E63" s="12" t="n">
        <f aca="false">COUNTIFS('All Cases'!$D$2:$D$323,A63,'All Cases'!$F$2:$F$323,"Active")</f>
        <v>0</v>
      </c>
      <c r="F63" s="12" t="n">
        <f aca="false">COUNTIFS('All Cases'!$D$2:$D$323,A63,'All Cases'!$F$2:$F$323,"Merits/Judgment")</f>
        <v>0</v>
      </c>
      <c r="G63" s="12" t="n">
        <f aca="false">COUNTIFS('All Cases'!$D$2:$D$323,A63,'All Cases'!$F$2:$F$323,"Other/Unknown")</f>
        <v>1</v>
      </c>
    </row>
    <row r="64" customFormat="false" ht="15" hidden="false" customHeight="false" outlineLevel="0" collapsed="false">
      <c r="A64" s="11" t="s">
        <v>1344</v>
      </c>
      <c r="B64" s="11" t="n">
        <f aca="false">COUNTIF('All Cases'!$D$2:$D$323,A64)</f>
        <v>2</v>
      </c>
      <c r="C64" s="11" t="n">
        <f aca="false">COUNTIFS('All Cases'!$D$2:$D$323,A64,'All Cases'!$F$2:$F$323,"Dismissed/Withdrawn")</f>
        <v>0</v>
      </c>
      <c r="D64" s="11" t="n">
        <f aca="false">COUNTIFS('All Cases'!$D$2:$D$323,A64,'All Cases'!$F$2:$F$323,"Default Judgment")</f>
        <v>1</v>
      </c>
      <c r="E64" s="11" t="n">
        <f aca="false">COUNTIFS('All Cases'!$D$2:$D$323,A64,'All Cases'!$F$2:$F$323,"Active")</f>
        <v>0</v>
      </c>
      <c r="F64" s="11" t="n">
        <f aca="false">COUNTIFS('All Cases'!$D$2:$D$323,A64,'All Cases'!$F$2:$F$323,"Merits/Judgment")</f>
        <v>0</v>
      </c>
      <c r="G64" s="11" t="n">
        <f aca="false">COUNTIFS('All Cases'!$D$2:$D$323,A64,'All Cases'!$F$2:$F$323,"Other/Unknown")</f>
        <v>1</v>
      </c>
    </row>
    <row r="65" customFormat="false" ht="15" hidden="false" customHeight="false" outlineLevel="0" collapsed="false">
      <c r="A65" s="12" t="s">
        <v>1191</v>
      </c>
      <c r="B65" s="12" t="n">
        <f aca="false">COUNTIF('All Cases'!$D$2:$D$323,A65)</f>
        <v>2</v>
      </c>
      <c r="C65" s="12" t="n">
        <f aca="false">COUNTIFS('All Cases'!$D$2:$D$323,A65,'All Cases'!$F$2:$F$323,"Dismissed/Withdrawn")</f>
        <v>2</v>
      </c>
      <c r="D65" s="12" t="n">
        <f aca="false">COUNTIFS('All Cases'!$D$2:$D$323,A65,'All Cases'!$F$2:$F$323,"Default Judgment")</f>
        <v>0</v>
      </c>
      <c r="E65" s="12" t="n">
        <f aca="false">COUNTIFS('All Cases'!$D$2:$D$323,A65,'All Cases'!$F$2:$F$323,"Active")</f>
        <v>0</v>
      </c>
      <c r="F65" s="12" t="n">
        <f aca="false">COUNTIFS('All Cases'!$D$2:$D$323,A65,'All Cases'!$F$2:$F$323,"Merits/Judgment")</f>
        <v>0</v>
      </c>
      <c r="G65" s="12" t="n">
        <f aca="false">COUNTIFS('All Cases'!$D$2:$D$323,A65,'All Cases'!$F$2:$F$323,"Other/Unknown")</f>
        <v>0</v>
      </c>
    </row>
    <row r="66" customFormat="false" ht="15" hidden="false" customHeight="false" outlineLevel="0" collapsed="false">
      <c r="A66" s="11" t="s">
        <v>1181</v>
      </c>
      <c r="B66" s="11" t="n">
        <f aca="false">COUNTIF('All Cases'!$D$2:$D$323,A66)</f>
        <v>2</v>
      </c>
      <c r="C66" s="11" t="n">
        <f aca="false">COUNTIFS('All Cases'!$D$2:$D$323,A66,'All Cases'!$F$2:$F$323,"Dismissed/Withdrawn")</f>
        <v>2</v>
      </c>
      <c r="D66" s="11" t="n">
        <f aca="false">COUNTIFS('All Cases'!$D$2:$D$323,A66,'All Cases'!$F$2:$F$323,"Default Judgment")</f>
        <v>0</v>
      </c>
      <c r="E66" s="11" t="n">
        <f aca="false">COUNTIFS('All Cases'!$D$2:$D$323,A66,'All Cases'!$F$2:$F$323,"Active")</f>
        <v>0</v>
      </c>
      <c r="F66" s="11" t="n">
        <f aca="false">COUNTIFS('All Cases'!$D$2:$D$323,A66,'All Cases'!$F$2:$F$323,"Merits/Judgment")</f>
        <v>0</v>
      </c>
      <c r="G66" s="11" t="n">
        <f aca="false">COUNTIFS('All Cases'!$D$2:$D$323,A66,'All Cases'!$F$2:$F$323,"Other/Unknown")</f>
        <v>0</v>
      </c>
    </row>
    <row r="67" customFormat="false" ht="15" hidden="false" customHeight="false" outlineLevel="0" collapsed="false">
      <c r="A67" s="12" t="s">
        <v>204</v>
      </c>
      <c r="B67" s="12" t="n">
        <f aca="false">COUNTIF('All Cases'!$D$2:$D$323,A67)</f>
        <v>2</v>
      </c>
      <c r="C67" s="12" t="n">
        <f aca="false">COUNTIFS('All Cases'!$D$2:$D$323,A67,'All Cases'!$F$2:$F$323,"Dismissed/Withdrawn")</f>
        <v>1</v>
      </c>
      <c r="D67" s="12" t="n">
        <f aca="false">COUNTIFS('All Cases'!$D$2:$D$323,A67,'All Cases'!$F$2:$F$323,"Default Judgment")</f>
        <v>1</v>
      </c>
      <c r="E67" s="12" t="n">
        <f aca="false">COUNTIFS('All Cases'!$D$2:$D$323,A67,'All Cases'!$F$2:$F$323,"Active")</f>
        <v>0</v>
      </c>
      <c r="F67" s="12" t="n">
        <f aca="false">COUNTIFS('All Cases'!$D$2:$D$323,A67,'All Cases'!$F$2:$F$323,"Merits/Judgment")</f>
        <v>0</v>
      </c>
      <c r="G67" s="12" t="n">
        <f aca="false">COUNTIFS('All Cases'!$D$2:$D$323,A67,'All Cases'!$F$2:$F$323,"Other/Unknown")</f>
        <v>0</v>
      </c>
    </row>
    <row r="68" customFormat="false" ht="15" hidden="false" customHeight="false" outlineLevel="0" collapsed="false">
      <c r="A68" s="11" t="s">
        <v>667</v>
      </c>
      <c r="B68" s="11" t="n">
        <f aca="false">COUNTIF('All Cases'!$D$2:$D$323,A68)</f>
        <v>2</v>
      </c>
      <c r="C68" s="11" t="n">
        <f aca="false">COUNTIFS('All Cases'!$D$2:$D$323,A68,'All Cases'!$F$2:$F$323,"Dismissed/Withdrawn")</f>
        <v>2</v>
      </c>
      <c r="D68" s="11" t="n">
        <f aca="false">COUNTIFS('All Cases'!$D$2:$D$323,A68,'All Cases'!$F$2:$F$323,"Default Judgment")</f>
        <v>0</v>
      </c>
      <c r="E68" s="11" t="n">
        <f aca="false">COUNTIFS('All Cases'!$D$2:$D$323,A68,'All Cases'!$F$2:$F$323,"Active")</f>
        <v>0</v>
      </c>
      <c r="F68" s="11" t="n">
        <f aca="false">COUNTIFS('All Cases'!$D$2:$D$323,A68,'All Cases'!$F$2:$F$323,"Merits/Judgment")</f>
        <v>0</v>
      </c>
      <c r="G68" s="11" t="n">
        <f aca="false">COUNTIFS('All Cases'!$D$2:$D$323,A68,'All Cases'!$F$2:$F$323,"Other/Unknown")</f>
        <v>0</v>
      </c>
    </row>
    <row r="69" customFormat="false" ht="15" hidden="false" customHeight="false" outlineLevel="0" collapsed="false">
      <c r="A69" s="12" t="s">
        <v>405</v>
      </c>
      <c r="B69" s="12" t="n">
        <f aca="false">COUNTIF('All Cases'!$D$2:$D$323,A69)</f>
        <v>2</v>
      </c>
      <c r="C69" s="12" t="n">
        <f aca="false">COUNTIFS('All Cases'!$D$2:$D$323,A69,'All Cases'!$F$2:$F$323,"Dismissed/Withdrawn")</f>
        <v>1</v>
      </c>
      <c r="D69" s="12" t="n">
        <f aca="false">COUNTIFS('All Cases'!$D$2:$D$323,A69,'All Cases'!$F$2:$F$323,"Default Judgment")</f>
        <v>0</v>
      </c>
      <c r="E69" s="12" t="n">
        <f aca="false">COUNTIFS('All Cases'!$D$2:$D$323,A69,'All Cases'!$F$2:$F$323,"Active")</f>
        <v>0</v>
      </c>
      <c r="F69" s="12" t="n">
        <f aca="false">COUNTIFS('All Cases'!$D$2:$D$323,A69,'All Cases'!$F$2:$F$323,"Merits/Judgment")</f>
        <v>1</v>
      </c>
      <c r="G69" s="12" t="n">
        <f aca="false">COUNTIFS('All Cases'!$D$2:$D$323,A69,'All Cases'!$F$2:$F$323,"Other/Unknown")</f>
        <v>0</v>
      </c>
    </row>
    <row r="70" customFormat="false" ht="15" hidden="false" customHeight="false" outlineLevel="0" collapsed="false">
      <c r="A70" s="11" t="s">
        <v>915</v>
      </c>
      <c r="B70" s="11" t="n">
        <f aca="false">COUNTIF('All Cases'!$D$2:$D$323,A70)</f>
        <v>1</v>
      </c>
      <c r="C70" s="11" t="n">
        <f aca="false">COUNTIFS('All Cases'!$D$2:$D$323,A70,'All Cases'!$F$2:$F$323,"Dismissed/Withdrawn")</f>
        <v>1</v>
      </c>
      <c r="D70" s="11" t="n">
        <f aca="false">COUNTIFS('All Cases'!$D$2:$D$323,A70,'All Cases'!$F$2:$F$323,"Default Judgment")</f>
        <v>0</v>
      </c>
      <c r="E70" s="11" t="n">
        <f aca="false">COUNTIFS('All Cases'!$D$2:$D$323,A70,'All Cases'!$F$2:$F$323,"Active")</f>
        <v>0</v>
      </c>
      <c r="F70" s="11" t="n">
        <f aca="false">COUNTIFS('All Cases'!$D$2:$D$323,A70,'All Cases'!$F$2:$F$323,"Merits/Judgment")</f>
        <v>0</v>
      </c>
      <c r="G70" s="11" t="n">
        <f aca="false">COUNTIFS('All Cases'!$D$2:$D$323,A70,'All Cases'!$F$2:$F$323,"Other/Unknown")</f>
        <v>0</v>
      </c>
    </row>
    <row r="71" customFormat="false" ht="15" hidden="false" customHeight="false" outlineLevel="0" collapsed="false">
      <c r="A71" s="12" t="s">
        <v>534</v>
      </c>
      <c r="B71" s="12" t="n">
        <f aca="false">COUNTIF('All Cases'!$D$2:$D$323,A71)</f>
        <v>1</v>
      </c>
      <c r="C71" s="12" t="n">
        <f aca="false">COUNTIFS('All Cases'!$D$2:$D$323,A71,'All Cases'!$F$2:$F$323,"Dismissed/Withdrawn")</f>
        <v>1</v>
      </c>
      <c r="D71" s="12" t="n">
        <f aca="false">COUNTIFS('All Cases'!$D$2:$D$323,A71,'All Cases'!$F$2:$F$323,"Default Judgment")</f>
        <v>0</v>
      </c>
      <c r="E71" s="12" t="n">
        <f aca="false">COUNTIFS('All Cases'!$D$2:$D$323,A71,'All Cases'!$F$2:$F$323,"Active")</f>
        <v>0</v>
      </c>
      <c r="F71" s="12" t="n">
        <f aca="false">COUNTIFS('All Cases'!$D$2:$D$323,A71,'All Cases'!$F$2:$F$323,"Merits/Judgment")</f>
        <v>0</v>
      </c>
      <c r="G71" s="12" t="n">
        <f aca="false">COUNTIFS('All Cases'!$D$2:$D$323,A71,'All Cases'!$F$2:$F$323,"Other/Unknown")</f>
        <v>0</v>
      </c>
    </row>
    <row r="72" customFormat="false" ht="15" hidden="false" customHeight="false" outlineLevel="0" collapsed="false">
      <c r="A72" s="11" t="s">
        <v>1153</v>
      </c>
      <c r="B72" s="11" t="n">
        <f aca="false">COUNTIF('All Cases'!$D$2:$D$323,A72)</f>
        <v>1</v>
      </c>
      <c r="C72" s="11" t="n">
        <f aca="false">COUNTIFS('All Cases'!$D$2:$D$323,A72,'All Cases'!$F$2:$F$323,"Dismissed/Withdrawn")</f>
        <v>1</v>
      </c>
      <c r="D72" s="11" t="n">
        <f aca="false">COUNTIFS('All Cases'!$D$2:$D$323,A72,'All Cases'!$F$2:$F$323,"Default Judgment")</f>
        <v>0</v>
      </c>
      <c r="E72" s="11" t="n">
        <f aca="false">COUNTIFS('All Cases'!$D$2:$D$323,A72,'All Cases'!$F$2:$F$323,"Active")</f>
        <v>0</v>
      </c>
      <c r="F72" s="11" t="n">
        <f aca="false">COUNTIFS('All Cases'!$D$2:$D$323,A72,'All Cases'!$F$2:$F$323,"Merits/Judgment")</f>
        <v>0</v>
      </c>
      <c r="G72" s="11" t="n">
        <f aca="false">COUNTIFS('All Cases'!$D$2:$D$323,A72,'All Cases'!$F$2:$F$323,"Other/Unknown")</f>
        <v>0</v>
      </c>
    </row>
    <row r="73" customFormat="false" ht="15" hidden="false" customHeight="false" outlineLevel="0" collapsed="false">
      <c r="A73" s="12" t="s">
        <v>192</v>
      </c>
      <c r="B73" s="12" t="n">
        <f aca="false">COUNTIF('All Cases'!$D$2:$D$323,A73)</f>
        <v>1</v>
      </c>
      <c r="C73" s="12" t="n">
        <f aca="false">COUNTIFS('All Cases'!$D$2:$D$323,A73,'All Cases'!$F$2:$F$323,"Dismissed/Withdrawn")</f>
        <v>0</v>
      </c>
      <c r="D73" s="12" t="n">
        <f aca="false">COUNTIFS('All Cases'!$D$2:$D$323,A73,'All Cases'!$F$2:$F$323,"Default Judgment")</f>
        <v>1</v>
      </c>
      <c r="E73" s="12" t="n">
        <f aca="false">COUNTIFS('All Cases'!$D$2:$D$323,A73,'All Cases'!$F$2:$F$323,"Active")</f>
        <v>0</v>
      </c>
      <c r="F73" s="12" t="n">
        <f aca="false">COUNTIFS('All Cases'!$D$2:$D$323,A73,'All Cases'!$F$2:$F$323,"Merits/Judgment")</f>
        <v>0</v>
      </c>
      <c r="G73" s="12" t="n">
        <f aca="false">COUNTIFS('All Cases'!$D$2:$D$323,A73,'All Cases'!$F$2:$F$323,"Other/Unknown")</f>
        <v>0</v>
      </c>
    </row>
    <row r="74" customFormat="false" ht="15" hidden="false" customHeight="false" outlineLevel="0" collapsed="false">
      <c r="A74" s="11" t="s">
        <v>400</v>
      </c>
      <c r="B74" s="11" t="n">
        <f aca="false">COUNTIF('All Cases'!$D$2:$D$323,A74)</f>
        <v>1</v>
      </c>
      <c r="C74" s="11" t="n">
        <f aca="false">COUNTIFS('All Cases'!$D$2:$D$323,A74,'All Cases'!$F$2:$F$323,"Dismissed/Withdrawn")</f>
        <v>1</v>
      </c>
      <c r="D74" s="11" t="n">
        <f aca="false">COUNTIFS('All Cases'!$D$2:$D$323,A74,'All Cases'!$F$2:$F$323,"Default Judgment")</f>
        <v>0</v>
      </c>
      <c r="E74" s="11" t="n">
        <f aca="false">COUNTIFS('All Cases'!$D$2:$D$323,A74,'All Cases'!$F$2:$F$323,"Active")</f>
        <v>0</v>
      </c>
      <c r="F74" s="11" t="n">
        <f aca="false">COUNTIFS('All Cases'!$D$2:$D$323,A74,'All Cases'!$F$2:$F$323,"Merits/Judgment")</f>
        <v>0</v>
      </c>
      <c r="G74" s="11" t="n">
        <f aca="false">COUNTIFS('All Cases'!$D$2:$D$323,A74,'All Cases'!$F$2:$F$323,"Other/Unknown")</f>
        <v>0</v>
      </c>
    </row>
    <row r="75" customFormat="false" ht="15" hidden="false" customHeight="false" outlineLevel="0" collapsed="false">
      <c r="A75" s="12" t="s">
        <v>414</v>
      </c>
      <c r="B75" s="12" t="n">
        <f aca="false">COUNTIF('All Cases'!$D$2:$D$323,A75)</f>
        <v>1</v>
      </c>
      <c r="C75" s="12" t="n">
        <f aca="false">COUNTIFS('All Cases'!$D$2:$D$323,A75,'All Cases'!$F$2:$F$323,"Dismissed/Withdrawn")</f>
        <v>0</v>
      </c>
      <c r="D75" s="12" t="n">
        <f aca="false">COUNTIFS('All Cases'!$D$2:$D$323,A75,'All Cases'!$F$2:$F$323,"Default Judgment")</f>
        <v>0</v>
      </c>
      <c r="E75" s="12" t="n">
        <f aca="false">COUNTIFS('All Cases'!$D$2:$D$323,A75,'All Cases'!$F$2:$F$323,"Active")</f>
        <v>0</v>
      </c>
      <c r="F75" s="12" t="n">
        <f aca="false">COUNTIFS('All Cases'!$D$2:$D$323,A75,'All Cases'!$F$2:$F$323,"Merits/Judgment")</f>
        <v>0</v>
      </c>
      <c r="G75" s="12" t="n">
        <f aca="false">COUNTIFS('All Cases'!$D$2:$D$323,A75,'All Cases'!$F$2:$F$323,"Other/Unknown")</f>
        <v>1</v>
      </c>
    </row>
    <row r="76" customFormat="false" ht="15" hidden="false" customHeight="false" outlineLevel="0" collapsed="false">
      <c r="A76" s="11" t="s">
        <v>682</v>
      </c>
      <c r="B76" s="11" t="n">
        <f aca="false">COUNTIF('All Cases'!$D$2:$D$323,A76)</f>
        <v>1</v>
      </c>
      <c r="C76" s="11" t="n">
        <f aca="false">COUNTIFS('All Cases'!$D$2:$D$323,A76,'All Cases'!$F$2:$F$323,"Dismissed/Withdrawn")</f>
        <v>1</v>
      </c>
      <c r="D76" s="11" t="n">
        <f aca="false">COUNTIFS('All Cases'!$D$2:$D$323,A76,'All Cases'!$F$2:$F$323,"Default Judgment")</f>
        <v>0</v>
      </c>
      <c r="E76" s="11" t="n">
        <f aca="false">COUNTIFS('All Cases'!$D$2:$D$323,A76,'All Cases'!$F$2:$F$323,"Active")</f>
        <v>0</v>
      </c>
      <c r="F76" s="11" t="n">
        <f aca="false">COUNTIFS('All Cases'!$D$2:$D$323,A76,'All Cases'!$F$2:$F$323,"Merits/Judgment")</f>
        <v>0</v>
      </c>
      <c r="G76" s="11" t="n">
        <f aca="false">COUNTIFS('All Cases'!$D$2:$D$323,A76,'All Cases'!$F$2:$F$323,"Other/Unknown")</f>
        <v>0</v>
      </c>
    </row>
    <row r="77" customFormat="false" ht="15" hidden="false" customHeight="false" outlineLevel="0" collapsed="false">
      <c r="A77" s="12" t="s">
        <v>926</v>
      </c>
      <c r="B77" s="12" t="n">
        <f aca="false">COUNTIF('All Cases'!$D$2:$D$323,A77)</f>
        <v>1</v>
      </c>
      <c r="C77" s="12" t="n">
        <f aca="false">COUNTIFS('All Cases'!$D$2:$D$323,A77,'All Cases'!$F$2:$F$323,"Dismissed/Withdrawn")</f>
        <v>0</v>
      </c>
      <c r="D77" s="12" t="n">
        <f aca="false">COUNTIFS('All Cases'!$D$2:$D$323,A77,'All Cases'!$F$2:$F$323,"Default Judgment")</f>
        <v>0</v>
      </c>
      <c r="E77" s="12" t="n">
        <f aca="false">COUNTIFS('All Cases'!$D$2:$D$323,A77,'All Cases'!$F$2:$F$323,"Active")</f>
        <v>0</v>
      </c>
      <c r="F77" s="12" t="n">
        <f aca="false">COUNTIFS('All Cases'!$D$2:$D$323,A77,'All Cases'!$F$2:$F$323,"Merits/Judgment")</f>
        <v>0</v>
      </c>
      <c r="G77" s="12" t="n">
        <f aca="false">COUNTIFS('All Cases'!$D$2:$D$323,A77,'All Cases'!$F$2:$F$323,"Other/Unknown")</f>
        <v>1</v>
      </c>
    </row>
    <row r="78" customFormat="false" ht="15" hidden="false" customHeight="false" outlineLevel="0" collapsed="false">
      <c r="A78" s="11" t="s">
        <v>1438</v>
      </c>
      <c r="B78" s="11" t="n">
        <f aca="false">COUNTIF('All Cases'!$D$2:$D$323,A78)</f>
        <v>1</v>
      </c>
      <c r="C78" s="11" t="n">
        <f aca="false">COUNTIFS('All Cases'!$D$2:$D$323,A78,'All Cases'!$F$2:$F$323,"Dismissed/Withdrawn")</f>
        <v>0</v>
      </c>
      <c r="D78" s="11" t="n">
        <f aca="false">COUNTIFS('All Cases'!$D$2:$D$323,A78,'All Cases'!$F$2:$F$323,"Default Judgment")</f>
        <v>0</v>
      </c>
      <c r="E78" s="11" t="n">
        <f aca="false">COUNTIFS('All Cases'!$D$2:$D$323,A78,'All Cases'!$F$2:$F$323,"Active")</f>
        <v>0</v>
      </c>
      <c r="F78" s="11" t="n">
        <f aca="false">COUNTIFS('All Cases'!$D$2:$D$323,A78,'All Cases'!$F$2:$F$323,"Merits/Judgment")</f>
        <v>0</v>
      </c>
      <c r="G78" s="11" t="n">
        <f aca="false">COUNTIFS('All Cases'!$D$2:$D$323,A78,'All Cases'!$F$2:$F$323,"Other/Unknown")</f>
        <v>1</v>
      </c>
    </row>
    <row r="79" customFormat="false" ht="15" hidden="false" customHeight="false" outlineLevel="0" collapsed="false">
      <c r="A79" s="12" t="s">
        <v>1308</v>
      </c>
      <c r="B79" s="12" t="n">
        <f aca="false">COUNTIF('All Cases'!$D$2:$D$323,A79)</f>
        <v>1</v>
      </c>
      <c r="C79" s="12" t="n">
        <f aca="false">COUNTIFS('All Cases'!$D$2:$D$323,A79,'All Cases'!$F$2:$F$323,"Dismissed/Withdrawn")</f>
        <v>0</v>
      </c>
      <c r="D79" s="12" t="n">
        <f aca="false">COUNTIFS('All Cases'!$D$2:$D$323,A79,'All Cases'!$F$2:$F$323,"Default Judgment")</f>
        <v>0</v>
      </c>
      <c r="E79" s="12" t="n">
        <f aca="false">COUNTIFS('All Cases'!$D$2:$D$323,A79,'All Cases'!$F$2:$F$323,"Active")</f>
        <v>0</v>
      </c>
      <c r="F79" s="12" t="n">
        <f aca="false">COUNTIFS('All Cases'!$D$2:$D$323,A79,'All Cases'!$F$2:$F$323,"Merits/Judgment")</f>
        <v>0</v>
      </c>
      <c r="G79" s="12" t="n">
        <f aca="false">COUNTIFS('All Cases'!$D$2:$D$323,A79,'All Cases'!$F$2:$F$323,"Other/Unknown")</f>
        <v>1</v>
      </c>
    </row>
    <row r="80" customFormat="false" ht="15" hidden="false" customHeight="false" outlineLevel="0" collapsed="false">
      <c r="A80" s="11" t="s">
        <v>1304</v>
      </c>
      <c r="B80" s="11" t="n">
        <f aca="false">COUNTIF('All Cases'!$D$2:$D$323,A80)</f>
        <v>1</v>
      </c>
      <c r="C80" s="11" t="n">
        <f aca="false">COUNTIFS('All Cases'!$D$2:$D$323,A80,'All Cases'!$F$2:$F$323,"Dismissed/Withdrawn")</f>
        <v>0</v>
      </c>
      <c r="D80" s="11" t="n">
        <f aca="false">COUNTIFS('All Cases'!$D$2:$D$323,A80,'All Cases'!$F$2:$F$323,"Default Judgment")</f>
        <v>0</v>
      </c>
      <c r="E80" s="11" t="n">
        <f aca="false">COUNTIFS('All Cases'!$D$2:$D$323,A80,'All Cases'!$F$2:$F$323,"Active")</f>
        <v>1</v>
      </c>
      <c r="F80" s="11" t="n">
        <f aca="false">COUNTIFS('All Cases'!$D$2:$D$323,A80,'All Cases'!$F$2:$F$323,"Merits/Judgment")</f>
        <v>0</v>
      </c>
      <c r="G80" s="11" t="n">
        <f aca="false">COUNTIFS('All Cases'!$D$2:$D$323,A80,'All Cases'!$F$2:$F$323,"Other/Unknown")</f>
        <v>0</v>
      </c>
    </row>
    <row r="81" customFormat="false" ht="15" hidden="false" customHeight="false" outlineLevel="0" collapsed="false">
      <c r="A81" s="12" t="s">
        <v>704</v>
      </c>
      <c r="B81" s="12" t="n">
        <f aca="false">COUNTIF('All Cases'!$D$2:$D$323,A81)</f>
        <v>1</v>
      </c>
      <c r="C81" s="12" t="n">
        <f aca="false">COUNTIFS('All Cases'!$D$2:$D$323,A81,'All Cases'!$F$2:$F$323,"Dismissed/Withdrawn")</f>
        <v>1</v>
      </c>
      <c r="D81" s="12" t="n">
        <f aca="false">COUNTIFS('All Cases'!$D$2:$D$323,A81,'All Cases'!$F$2:$F$323,"Default Judgment")</f>
        <v>0</v>
      </c>
      <c r="E81" s="12" t="n">
        <f aca="false">COUNTIFS('All Cases'!$D$2:$D$323,A81,'All Cases'!$F$2:$F$323,"Active")</f>
        <v>0</v>
      </c>
      <c r="F81" s="12" t="n">
        <f aca="false">COUNTIFS('All Cases'!$D$2:$D$323,A81,'All Cases'!$F$2:$F$323,"Merits/Judgment")</f>
        <v>0</v>
      </c>
      <c r="G81" s="12" t="n">
        <f aca="false">COUNTIFS('All Cases'!$D$2:$D$323,A81,'All Cases'!$F$2:$F$323,"Other/Unknown")</f>
        <v>0</v>
      </c>
    </row>
    <row r="82" customFormat="false" ht="15" hidden="false" customHeight="false" outlineLevel="0" collapsed="false">
      <c r="A82" s="11" t="s">
        <v>975</v>
      </c>
      <c r="B82" s="11" t="n">
        <f aca="false">COUNTIF('All Cases'!$D$2:$D$323,A82)</f>
        <v>1</v>
      </c>
      <c r="C82" s="11" t="n">
        <f aca="false">COUNTIFS('All Cases'!$D$2:$D$323,A82,'All Cases'!$F$2:$F$323,"Dismissed/Withdrawn")</f>
        <v>1</v>
      </c>
      <c r="D82" s="11" t="n">
        <f aca="false">COUNTIFS('All Cases'!$D$2:$D$323,A82,'All Cases'!$F$2:$F$323,"Default Judgment")</f>
        <v>0</v>
      </c>
      <c r="E82" s="11" t="n">
        <f aca="false">COUNTIFS('All Cases'!$D$2:$D$323,A82,'All Cases'!$F$2:$F$323,"Active")</f>
        <v>0</v>
      </c>
      <c r="F82" s="11" t="n">
        <f aca="false">COUNTIFS('All Cases'!$D$2:$D$323,A82,'All Cases'!$F$2:$F$323,"Merits/Judgment")</f>
        <v>0</v>
      </c>
      <c r="G82" s="11" t="n">
        <f aca="false">COUNTIFS('All Cases'!$D$2:$D$323,A82,'All Cases'!$F$2:$F$323,"Other/Unknown")</f>
        <v>0</v>
      </c>
    </row>
    <row r="83" customFormat="false" ht="15" hidden="false" customHeight="false" outlineLevel="0" collapsed="false">
      <c r="A83" s="12" t="s">
        <v>1143</v>
      </c>
      <c r="B83" s="12" t="n">
        <f aca="false">COUNTIF('All Cases'!$D$2:$D$323,A83)</f>
        <v>1</v>
      </c>
      <c r="C83" s="12" t="n">
        <f aca="false">COUNTIFS('All Cases'!$D$2:$D$323,A83,'All Cases'!$F$2:$F$323,"Dismissed/Withdrawn")</f>
        <v>1</v>
      </c>
      <c r="D83" s="12" t="n">
        <f aca="false">COUNTIFS('All Cases'!$D$2:$D$323,A83,'All Cases'!$F$2:$F$323,"Default Judgment")</f>
        <v>0</v>
      </c>
      <c r="E83" s="12" t="n">
        <f aca="false">COUNTIFS('All Cases'!$D$2:$D$323,A83,'All Cases'!$F$2:$F$323,"Active")</f>
        <v>0</v>
      </c>
      <c r="F83" s="12" t="n">
        <f aca="false">COUNTIFS('All Cases'!$D$2:$D$323,A83,'All Cases'!$F$2:$F$323,"Merits/Judgment")</f>
        <v>0</v>
      </c>
      <c r="G83" s="12" t="n">
        <f aca="false">COUNTIFS('All Cases'!$D$2:$D$323,A83,'All Cases'!$F$2:$F$323,"Other/Unknown")</f>
        <v>0</v>
      </c>
    </row>
    <row r="84" customFormat="false" ht="15" hidden="false" customHeight="false" outlineLevel="0" collapsed="false">
      <c r="A84" s="11" t="s">
        <v>845</v>
      </c>
      <c r="B84" s="11" t="n">
        <f aca="false">COUNTIF('All Cases'!$D$2:$D$323,A84)</f>
        <v>1</v>
      </c>
      <c r="C84" s="11" t="n">
        <f aca="false">COUNTIFS('All Cases'!$D$2:$D$323,A84,'All Cases'!$F$2:$F$323,"Dismissed/Withdrawn")</f>
        <v>1</v>
      </c>
      <c r="D84" s="11" t="n">
        <f aca="false">COUNTIFS('All Cases'!$D$2:$D$323,A84,'All Cases'!$F$2:$F$323,"Default Judgment")</f>
        <v>0</v>
      </c>
      <c r="E84" s="11" t="n">
        <f aca="false">COUNTIFS('All Cases'!$D$2:$D$323,A84,'All Cases'!$F$2:$F$323,"Active")</f>
        <v>0</v>
      </c>
      <c r="F84" s="11" t="n">
        <f aca="false">COUNTIFS('All Cases'!$D$2:$D$323,A84,'All Cases'!$F$2:$F$323,"Merits/Judgment")</f>
        <v>0</v>
      </c>
      <c r="G84" s="11" t="n">
        <f aca="false">COUNTIFS('All Cases'!$D$2:$D$323,A84,'All Cases'!$F$2:$F$323,"Other/Unknown")</f>
        <v>0</v>
      </c>
    </row>
    <row r="85" customFormat="false" ht="15" hidden="false" customHeight="false" outlineLevel="0" collapsed="false">
      <c r="A85" s="12" t="s">
        <v>840</v>
      </c>
      <c r="B85" s="12" t="n">
        <f aca="false">COUNTIF('All Cases'!$D$2:$D$323,A85)</f>
        <v>1</v>
      </c>
      <c r="C85" s="12" t="n">
        <f aca="false">COUNTIFS('All Cases'!$D$2:$D$323,A85,'All Cases'!$F$2:$F$323,"Dismissed/Withdrawn")</f>
        <v>1</v>
      </c>
      <c r="D85" s="12" t="n">
        <f aca="false">COUNTIFS('All Cases'!$D$2:$D$323,A85,'All Cases'!$F$2:$F$323,"Default Judgment")</f>
        <v>0</v>
      </c>
      <c r="E85" s="12" t="n">
        <f aca="false">COUNTIFS('All Cases'!$D$2:$D$323,A85,'All Cases'!$F$2:$F$323,"Active")</f>
        <v>0</v>
      </c>
      <c r="F85" s="12" t="n">
        <f aca="false">COUNTIFS('All Cases'!$D$2:$D$323,A85,'All Cases'!$F$2:$F$323,"Merits/Judgment")</f>
        <v>0</v>
      </c>
      <c r="G85" s="12" t="n">
        <f aca="false">COUNTIFS('All Cases'!$D$2:$D$323,A85,'All Cases'!$F$2:$F$323,"Other/Unknown")</f>
        <v>0</v>
      </c>
    </row>
    <row r="86" customFormat="false" ht="15" hidden="false" customHeight="false" outlineLevel="0" collapsed="false">
      <c r="A86" s="11" t="s">
        <v>1102</v>
      </c>
      <c r="B86" s="11" t="n">
        <f aca="false">COUNTIF('All Cases'!$D$2:$D$323,A86)</f>
        <v>1</v>
      </c>
      <c r="C86" s="11" t="n">
        <f aca="false">COUNTIFS('All Cases'!$D$2:$D$323,A86,'All Cases'!$F$2:$F$323,"Dismissed/Withdrawn")</f>
        <v>0</v>
      </c>
      <c r="D86" s="11" t="n">
        <f aca="false">COUNTIFS('All Cases'!$D$2:$D$323,A86,'All Cases'!$F$2:$F$323,"Default Judgment")</f>
        <v>0</v>
      </c>
      <c r="E86" s="11" t="n">
        <f aca="false">COUNTIFS('All Cases'!$D$2:$D$323,A86,'All Cases'!$F$2:$F$323,"Active")</f>
        <v>0</v>
      </c>
      <c r="F86" s="11" t="n">
        <f aca="false">COUNTIFS('All Cases'!$D$2:$D$323,A86,'All Cases'!$F$2:$F$323,"Merits/Judgment")</f>
        <v>0</v>
      </c>
      <c r="G86" s="11" t="n">
        <f aca="false">COUNTIFS('All Cases'!$D$2:$D$323,A86,'All Cases'!$F$2:$F$323,"Other/Unknown")</f>
        <v>1</v>
      </c>
    </row>
    <row r="87" customFormat="false" ht="15" hidden="false" customHeight="false" outlineLevel="0" collapsed="false">
      <c r="A87" s="12" t="s">
        <v>688</v>
      </c>
      <c r="B87" s="12" t="n">
        <f aca="false">COUNTIF('All Cases'!$D$2:$D$323,A87)</f>
        <v>1</v>
      </c>
      <c r="C87" s="12" t="n">
        <f aca="false">COUNTIFS('All Cases'!$D$2:$D$323,A87,'All Cases'!$F$2:$F$323,"Dismissed/Withdrawn")</f>
        <v>1</v>
      </c>
      <c r="D87" s="12" t="n">
        <f aca="false">COUNTIFS('All Cases'!$D$2:$D$323,A87,'All Cases'!$F$2:$F$323,"Default Judgment")</f>
        <v>0</v>
      </c>
      <c r="E87" s="12" t="n">
        <f aca="false">COUNTIFS('All Cases'!$D$2:$D$323,A87,'All Cases'!$F$2:$F$323,"Active")</f>
        <v>0</v>
      </c>
      <c r="F87" s="12" t="n">
        <f aca="false">COUNTIFS('All Cases'!$D$2:$D$323,A87,'All Cases'!$F$2:$F$323,"Merits/Judgment")</f>
        <v>0</v>
      </c>
      <c r="G87" s="12" t="n">
        <f aca="false">COUNTIFS('All Cases'!$D$2:$D$323,A87,'All Cases'!$F$2:$F$323,"Other/Unknown")</f>
        <v>0</v>
      </c>
    </row>
    <row r="88" customFormat="false" ht="15" hidden="false" customHeight="false" outlineLevel="0" collapsed="false">
      <c r="A88" s="11" t="s">
        <v>768</v>
      </c>
      <c r="B88" s="11" t="n">
        <f aca="false">COUNTIF('All Cases'!$D$2:$D$323,A88)</f>
        <v>1</v>
      </c>
      <c r="C88" s="11" t="n">
        <f aca="false">COUNTIFS('All Cases'!$D$2:$D$323,A88,'All Cases'!$F$2:$F$323,"Dismissed/Withdrawn")</f>
        <v>0</v>
      </c>
      <c r="D88" s="11" t="n">
        <f aca="false">COUNTIFS('All Cases'!$D$2:$D$323,A88,'All Cases'!$F$2:$F$323,"Default Judgment")</f>
        <v>0</v>
      </c>
      <c r="E88" s="11" t="n">
        <f aca="false">COUNTIFS('All Cases'!$D$2:$D$323,A88,'All Cases'!$F$2:$F$323,"Active")</f>
        <v>0</v>
      </c>
      <c r="F88" s="11" t="n">
        <f aca="false">COUNTIFS('All Cases'!$D$2:$D$323,A88,'All Cases'!$F$2:$F$323,"Merits/Judgment")</f>
        <v>0</v>
      </c>
      <c r="G88" s="11" t="n">
        <f aca="false">COUNTIFS('All Cases'!$D$2:$D$323,A88,'All Cases'!$F$2:$F$323,"Other/Unknown")</f>
        <v>1</v>
      </c>
    </row>
    <row r="89" customFormat="false" ht="15" hidden="false" customHeight="false" outlineLevel="0" collapsed="false">
      <c r="A89" s="12" t="s">
        <v>829</v>
      </c>
      <c r="B89" s="12" t="n">
        <f aca="false">COUNTIF('All Cases'!$D$2:$D$323,A89)</f>
        <v>1</v>
      </c>
      <c r="C89" s="12" t="n">
        <f aca="false">COUNTIFS('All Cases'!$D$2:$D$323,A89,'All Cases'!$F$2:$F$323,"Dismissed/Withdrawn")</f>
        <v>0</v>
      </c>
      <c r="D89" s="12" t="n">
        <f aca="false">COUNTIFS('All Cases'!$D$2:$D$323,A89,'All Cases'!$F$2:$F$323,"Default Judgment")</f>
        <v>0</v>
      </c>
      <c r="E89" s="12" t="n">
        <f aca="false">COUNTIFS('All Cases'!$D$2:$D$323,A89,'All Cases'!$F$2:$F$323,"Active")</f>
        <v>0</v>
      </c>
      <c r="F89" s="12" t="n">
        <f aca="false">COUNTIFS('All Cases'!$D$2:$D$323,A89,'All Cases'!$F$2:$F$323,"Merits/Judgment")</f>
        <v>0</v>
      </c>
      <c r="G89" s="12" t="n">
        <f aca="false">COUNTIFS('All Cases'!$D$2:$D$323,A89,'All Cases'!$F$2:$F$323,"Other/Unknown")</f>
        <v>1</v>
      </c>
    </row>
    <row r="90" customFormat="false" ht="15" hidden="false" customHeight="false" outlineLevel="0" collapsed="false">
      <c r="A90" s="11" t="s">
        <v>1335</v>
      </c>
      <c r="B90" s="11" t="n">
        <f aca="false">COUNTIF('All Cases'!$D$2:$D$323,A90)</f>
        <v>1</v>
      </c>
      <c r="C90" s="11" t="n">
        <f aca="false">COUNTIFS('All Cases'!$D$2:$D$323,A90,'All Cases'!$F$2:$F$323,"Dismissed/Withdrawn")</f>
        <v>1</v>
      </c>
      <c r="D90" s="11" t="n">
        <f aca="false">COUNTIFS('All Cases'!$D$2:$D$323,A90,'All Cases'!$F$2:$F$323,"Default Judgment")</f>
        <v>0</v>
      </c>
      <c r="E90" s="11" t="n">
        <f aca="false">COUNTIFS('All Cases'!$D$2:$D$323,A90,'All Cases'!$F$2:$F$323,"Active")</f>
        <v>0</v>
      </c>
      <c r="F90" s="11" t="n">
        <f aca="false">COUNTIFS('All Cases'!$D$2:$D$323,A90,'All Cases'!$F$2:$F$323,"Merits/Judgment")</f>
        <v>0</v>
      </c>
      <c r="G90" s="11" t="n">
        <f aca="false">COUNTIFS('All Cases'!$D$2:$D$323,A90,'All Cases'!$F$2:$F$323,"Other/Unknown")</f>
        <v>0</v>
      </c>
    </row>
    <row r="91" customFormat="false" ht="15" hidden="false" customHeight="false" outlineLevel="0" collapsed="false">
      <c r="A91" s="12" t="s">
        <v>1330</v>
      </c>
      <c r="B91" s="12" t="n">
        <f aca="false">COUNTIF('All Cases'!$D$2:$D$323,A91)</f>
        <v>1</v>
      </c>
      <c r="C91" s="12" t="n">
        <f aca="false">COUNTIFS('All Cases'!$D$2:$D$323,A91,'All Cases'!$F$2:$F$323,"Dismissed/Withdrawn")</f>
        <v>1</v>
      </c>
      <c r="D91" s="12" t="n">
        <f aca="false">COUNTIFS('All Cases'!$D$2:$D$323,A91,'All Cases'!$F$2:$F$323,"Default Judgment")</f>
        <v>0</v>
      </c>
      <c r="E91" s="12" t="n">
        <f aca="false">COUNTIFS('All Cases'!$D$2:$D$323,A91,'All Cases'!$F$2:$F$323,"Active")</f>
        <v>0</v>
      </c>
      <c r="F91" s="12" t="n">
        <f aca="false">COUNTIFS('All Cases'!$D$2:$D$323,A91,'All Cases'!$F$2:$F$323,"Merits/Judgment")</f>
        <v>0</v>
      </c>
      <c r="G91" s="12" t="n">
        <f aca="false">COUNTIFS('All Cases'!$D$2:$D$323,A91,'All Cases'!$F$2:$F$323,"Other/Unknown")</f>
        <v>0</v>
      </c>
    </row>
    <row r="92" customFormat="false" ht="15" hidden="false" customHeight="false" outlineLevel="0" collapsed="false">
      <c r="A92" s="11" t="s">
        <v>1428</v>
      </c>
      <c r="B92" s="11" t="n">
        <f aca="false">COUNTIF('All Cases'!$D$2:$D$323,A92)</f>
        <v>1</v>
      </c>
      <c r="C92" s="11" t="n">
        <f aca="false">COUNTIFS('All Cases'!$D$2:$D$323,A92,'All Cases'!$F$2:$F$323,"Dismissed/Withdrawn")</f>
        <v>0</v>
      </c>
      <c r="D92" s="11" t="n">
        <f aca="false">COUNTIFS('All Cases'!$D$2:$D$323,A92,'All Cases'!$F$2:$F$323,"Default Judgment")</f>
        <v>0</v>
      </c>
      <c r="E92" s="11" t="n">
        <f aca="false">COUNTIFS('All Cases'!$D$2:$D$323,A92,'All Cases'!$F$2:$F$323,"Active")</f>
        <v>1</v>
      </c>
      <c r="F92" s="11" t="n">
        <f aca="false">COUNTIFS('All Cases'!$D$2:$D$323,A92,'All Cases'!$F$2:$F$323,"Merits/Judgment")</f>
        <v>0</v>
      </c>
      <c r="G92" s="11" t="n">
        <f aca="false">COUNTIFS('All Cases'!$D$2:$D$323,A92,'All Cases'!$F$2:$F$323,"Other/Unknown")</f>
        <v>0</v>
      </c>
    </row>
    <row r="93" customFormat="false" ht="15" hidden="false" customHeight="false" outlineLevel="0" collapsed="false">
      <c r="A93" s="12" t="s">
        <v>773</v>
      </c>
      <c r="B93" s="12" t="n">
        <f aca="false">COUNTIF('All Cases'!$D$2:$D$323,A93)</f>
        <v>1</v>
      </c>
      <c r="C93" s="12" t="n">
        <f aca="false">COUNTIFS('All Cases'!$D$2:$D$323,A93,'All Cases'!$F$2:$F$323,"Dismissed/Withdrawn")</f>
        <v>0</v>
      </c>
      <c r="D93" s="12" t="n">
        <f aca="false">COUNTIFS('All Cases'!$D$2:$D$323,A93,'All Cases'!$F$2:$F$323,"Default Judgment")</f>
        <v>0</v>
      </c>
      <c r="E93" s="12" t="n">
        <f aca="false">COUNTIFS('All Cases'!$D$2:$D$323,A93,'All Cases'!$F$2:$F$323,"Active")</f>
        <v>0</v>
      </c>
      <c r="F93" s="12" t="n">
        <f aca="false">COUNTIFS('All Cases'!$D$2:$D$323,A93,'All Cases'!$F$2:$F$323,"Merits/Judgment")</f>
        <v>1</v>
      </c>
      <c r="G93" s="12" t="n">
        <f aca="false">COUNTIFS('All Cases'!$D$2:$D$323,A93,'All Cases'!$F$2:$F$323,"Other/Unknown")</f>
        <v>0</v>
      </c>
    </row>
    <row r="94" customFormat="false" ht="15" hidden="false" customHeight="false" outlineLevel="0" collapsed="false">
      <c r="A94" s="11" t="s">
        <v>94</v>
      </c>
      <c r="B94" s="11" t="n">
        <f aca="false">COUNTIF('All Cases'!$D$2:$D$323,A94)</f>
        <v>1</v>
      </c>
      <c r="C94" s="11" t="n">
        <f aca="false">COUNTIFS('All Cases'!$D$2:$D$323,A94,'All Cases'!$F$2:$F$323,"Dismissed/Withdrawn")</f>
        <v>0</v>
      </c>
      <c r="D94" s="11" t="n">
        <f aca="false">COUNTIFS('All Cases'!$D$2:$D$323,A94,'All Cases'!$F$2:$F$323,"Default Judgment")</f>
        <v>0</v>
      </c>
      <c r="E94" s="11" t="n">
        <f aca="false">COUNTIFS('All Cases'!$D$2:$D$323,A94,'All Cases'!$F$2:$F$323,"Active")</f>
        <v>1</v>
      </c>
      <c r="F94" s="11" t="n">
        <f aca="false">COUNTIFS('All Cases'!$D$2:$D$323,A94,'All Cases'!$F$2:$F$323,"Merits/Judgment")</f>
        <v>0</v>
      </c>
      <c r="G94" s="11" t="n">
        <f aca="false">COUNTIFS('All Cases'!$D$2:$D$323,A94,'All Cases'!$F$2:$F$323,"Other/Unknown")</f>
        <v>0</v>
      </c>
    </row>
    <row r="95" customFormat="false" ht="15" hidden="false" customHeight="false" outlineLevel="0" collapsed="false">
      <c r="A95" s="12" t="s">
        <v>1268</v>
      </c>
      <c r="B95" s="12" t="n">
        <f aca="false">COUNTIF('All Cases'!$D$2:$D$323,A95)</f>
        <v>1</v>
      </c>
      <c r="C95" s="12" t="n">
        <f aca="false">COUNTIFS('All Cases'!$D$2:$D$323,A95,'All Cases'!$F$2:$F$323,"Dismissed/Withdrawn")</f>
        <v>1</v>
      </c>
      <c r="D95" s="12" t="n">
        <f aca="false">COUNTIFS('All Cases'!$D$2:$D$323,A95,'All Cases'!$F$2:$F$323,"Default Judgment")</f>
        <v>0</v>
      </c>
      <c r="E95" s="12" t="n">
        <f aca="false">COUNTIFS('All Cases'!$D$2:$D$323,A95,'All Cases'!$F$2:$F$323,"Active")</f>
        <v>0</v>
      </c>
      <c r="F95" s="12" t="n">
        <f aca="false">COUNTIFS('All Cases'!$D$2:$D$323,A95,'All Cases'!$F$2:$F$323,"Merits/Judgment")</f>
        <v>0</v>
      </c>
      <c r="G95" s="12" t="n">
        <f aca="false">COUNTIFS('All Cases'!$D$2:$D$323,A95,'All Cases'!$F$2:$F$323,"Other/Unknown")</f>
        <v>0</v>
      </c>
    </row>
    <row r="96" customFormat="false" ht="15" hidden="false" customHeight="false" outlineLevel="0" collapsed="false">
      <c r="A96" s="11" t="s">
        <v>1074</v>
      </c>
      <c r="B96" s="11" t="n">
        <f aca="false">COUNTIF('All Cases'!$D$2:$D$323,A96)</f>
        <v>1</v>
      </c>
      <c r="C96" s="11" t="n">
        <f aca="false">COUNTIFS('All Cases'!$D$2:$D$323,A96,'All Cases'!$F$2:$F$323,"Dismissed/Withdrawn")</f>
        <v>1</v>
      </c>
      <c r="D96" s="11" t="n">
        <f aca="false">COUNTIFS('All Cases'!$D$2:$D$323,A96,'All Cases'!$F$2:$F$323,"Default Judgment")</f>
        <v>0</v>
      </c>
      <c r="E96" s="11" t="n">
        <f aca="false">COUNTIFS('All Cases'!$D$2:$D$323,A96,'All Cases'!$F$2:$F$323,"Active")</f>
        <v>0</v>
      </c>
      <c r="F96" s="11" t="n">
        <f aca="false">COUNTIFS('All Cases'!$D$2:$D$323,A96,'All Cases'!$F$2:$F$323,"Merits/Judgment")</f>
        <v>0</v>
      </c>
      <c r="G96" s="11" t="n">
        <f aca="false">COUNTIFS('All Cases'!$D$2:$D$323,A96,'All Cases'!$F$2:$F$323,"Other/Unknown")</f>
        <v>0</v>
      </c>
    </row>
    <row r="97" customFormat="false" ht="15" hidden="false" customHeight="false" outlineLevel="0" collapsed="false">
      <c r="A97" s="12" t="s">
        <v>1120</v>
      </c>
      <c r="B97" s="12" t="n">
        <f aca="false">COUNTIF('All Cases'!$D$2:$D$323,A97)</f>
        <v>1</v>
      </c>
      <c r="C97" s="12" t="n">
        <f aca="false">COUNTIFS('All Cases'!$D$2:$D$323,A97,'All Cases'!$F$2:$F$323,"Dismissed/Withdrawn")</f>
        <v>1</v>
      </c>
      <c r="D97" s="12" t="n">
        <f aca="false">COUNTIFS('All Cases'!$D$2:$D$323,A97,'All Cases'!$F$2:$F$323,"Default Judgment")</f>
        <v>0</v>
      </c>
      <c r="E97" s="12" t="n">
        <f aca="false">COUNTIFS('All Cases'!$D$2:$D$323,A97,'All Cases'!$F$2:$F$323,"Active")</f>
        <v>0</v>
      </c>
      <c r="F97" s="12" t="n">
        <f aca="false">COUNTIFS('All Cases'!$D$2:$D$323,A97,'All Cases'!$F$2:$F$323,"Merits/Judgment")</f>
        <v>0</v>
      </c>
      <c r="G97" s="12" t="n">
        <f aca="false">COUNTIFS('All Cases'!$D$2:$D$323,A97,'All Cases'!$F$2:$F$323,"Other/Unknown")</f>
        <v>0</v>
      </c>
    </row>
    <row r="98" customFormat="false" ht="15" hidden="false" customHeight="false" outlineLevel="0" collapsed="false">
      <c r="A98" s="11" t="s">
        <v>882</v>
      </c>
      <c r="B98" s="11" t="n">
        <f aca="false">COUNTIF('All Cases'!$D$2:$D$323,A98)</f>
        <v>1</v>
      </c>
      <c r="C98" s="11" t="n">
        <f aca="false">COUNTIFS('All Cases'!$D$2:$D$323,A98,'All Cases'!$F$2:$F$323,"Dismissed/Withdrawn")</f>
        <v>0</v>
      </c>
      <c r="D98" s="11" t="n">
        <f aca="false">COUNTIFS('All Cases'!$D$2:$D$323,A98,'All Cases'!$F$2:$F$323,"Default Judgment")</f>
        <v>0</v>
      </c>
      <c r="E98" s="11" t="n">
        <f aca="false">COUNTIFS('All Cases'!$D$2:$D$323,A98,'All Cases'!$F$2:$F$323,"Active")</f>
        <v>0</v>
      </c>
      <c r="F98" s="11" t="n">
        <f aca="false">COUNTIFS('All Cases'!$D$2:$D$323,A98,'All Cases'!$F$2:$F$323,"Merits/Judgment")</f>
        <v>0</v>
      </c>
      <c r="G98" s="11" t="n">
        <f aca="false">COUNTIFS('All Cases'!$D$2:$D$323,A98,'All Cases'!$F$2:$F$323,"Other/Unknown")</f>
        <v>1</v>
      </c>
    </row>
    <row r="99" customFormat="false" ht="15" hidden="false" customHeight="false" outlineLevel="0" collapsed="false">
      <c r="A99" s="12" t="s">
        <v>1299</v>
      </c>
      <c r="B99" s="12" t="n">
        <f aca="false">COUNTIF('All Cases'!$D$2:$D$323,A99)</f>
        <v>1</v>
      </c>
      <c r="C99" s="12" t="n">
        <f aca="false">COUNTIFS('All Cases'!$D$2:$D$323,A99,'All Cases'!$F$2:$F$323,"Dismissed/Withdrawn")</f>
        <v>1</v>
      </c>
      <c r="D99" s="12" t="n">
        <f aca="false">COUNTIFS('All Cases'!$D$2:$D$323,A99,'All Cases'!$F$2:$F$323,"Default Judgment")</f>
        <v>0</v>
      </c>
      <c r="E99" s="12" t="n">
        <f aca="false">COUNTIFS('All Cases'!$D$2:$D$323,A99,'All Cases'!$F$2:$F$323,"Active")</f>
        <v>0</v>
      </c>
      <c r="F99" s="12" t="n">
        <f aca="false">COUNTIFS('All Cases'!$D$2:$D$323,A99,'All Cases'!$F$2:$F$323,"Merits/Judgment")</f>
        <v>0</v>
      </c>
      <c r="G99" s="12" t="n">
        <f aca="false">COUNTIFS('All Cases'!$D$2:$D$323,A99,'All Cases'!$F$2:$F$323,"Other/Unknown")</f>
        <v>0</v>
      </c>
    </row>
    <row r="100" customFormat="false" ht="15" hidden="false" customHeight="false" outlineLevel="0" collapsed="false">
      <c r="A100" s="11" t="s">
        <v>451</v>
      </c>
      <c r="B100" s="11" t="n">
        <f aca="false">COUNTIF('All Cases'!$D$2:$D$323,A100)</f>
        <v>1</v>
      </c>
      <c r="C100" s="11" t="n">
        <f aca="false">COUNTIFS('All Cases'!$D$2:$D$323,A100,'All Cases'!$F$2:$F$323,"Dismissed/Withdrawn")</f>
        <v>1</v>
      </c>
      <c r="D100" s="11" t="n">
        <f aca="false">COUNTIFS('All Cases'!$D$2:$D$323,A100,'All Cases'!$F$2:$F$323,"Default Judgment")</f>
        <v>0</v>
      </c>
      <c r="E100" s="11" t="n">
        <f aca="false">COUNTIFS('All Cases'!$D$2:$D$323,A100,'All Cases'!$F$2:$F$323,"Active")</f>
        <v>0</v>
      </c>
      <c r="F100" s="11" t="n">
        <f aca="false">COUNTIFS('All Cases'!$D$2:$D$323,A100,'All Cases'!$F$2:$F$323,"Merits/Judgment")</f>
        <v>0</v>
      </c>
      <c r="G100" s="11" t="n">
        <f aca="false">COUNTIFS('All Cases'!$D$2:$D$323,A100,'All Cases'!$F$2:$F$323,"Other/Unknown")</f>
        <v>0</v>
      </c>
    </row>
    <row r="101" customFormat="false" ht="15" hidden="false" customHeight="false" outlineLevel="0" collapsed="false">
      <c r="A101" s="12" t="s">
        <v>677</v>
      </c>
      <c r="B101" s="12" t="n">
        <f aca="false">COUNTIF('All Cases'!$D$2:$D$323,A101)</f>
        <v>1</v>
      </c>
      <c r="C101" s="12" t="n">
        <f aca="false">COUNTIFS('All Cases'!$D$2:$D$323,A101,'All Cases'!$F$2:$F$323,"Dismissed/Withdrawn")</f>
        <v>1</v>
      </c>
      <c r="D101" s="12" t="n">
        <f aca="false">COUNTIFS('All Cases'!$D$2:$D$323,A101,'All Cases'!$F$2:$F$323,"Default Judgment")</f>
        <v>0</v>
      </c>
      <c r="E101" s="12" t="n">
        <f aca="false">COUNTIFS('All Cases'!$D$2:$D$323,A101,'All Cases'!$F$2:$F$323,"Active")</f>
        <v>0</v>
      </c>
      <c r="F101" s="12" t="n">
        <f aca="false">COUNTIFS('All Cases'!$D$2:$D$323,A101,'All Cases'!$F$2:$F$323,"Merits/Judgment")</f>
        <v>0</v>
      </c>
      <c r="G101" s="12" t="n">
        <f aca="false">COUNTIFS('All Cases'!$D$2:$D$323,A101,'All Cases'!$F$2:$F$323,"Other/Unknown")</f>
        <v>0</v>
      </c>
    </row>
    <row r="102" customFormat="false" ht="15" hidden="false" customHeight="false" outlineLevel="0" collapsed="false">
      <c r="A102" s="11" t="s">
        <v>126</v>
      </c>
      <c r="B102" s="11" t="n">
        <f aca="false">COUNTIF('All Cases'!$D$2:$D$323,A102)</f>
        <v>1</v>
      </c>
      <c r="C102" s="11" t="n">
        <f aca="false">COUNTIFS('All Cases'!$D$2:$D$323,A102,'All Cases'!$F$2:$F$323,"Dismissed/Withdrawn")</f>
        <v>1</v>
      </c>
      <c r="D102" s="11" t="n">
        <f aca="false">COUNTIFS('All Cases'!$D$2:$D$323,A102,'All Cases'!$F$2:$F$323,"Default Judgment")</f>
        <v>0</v>
      </c>
      <c r="E102" s="11" t="n">
        <f aca="false">COUNTIFS('All Cases'!$D$2:$D$323,A102,'All Cases'!$F$2:$F$323,"Active")</f>
        <v>0</v>
      </c>
      <c r="F102" s="11" t="n">
        <f aca="false">COUNTIFS('All Cases'!$D$2:$D$323,A102,'All Cases'!$F$2:$F$323,"Merits/Judgment")</f>
        <v>0</v>
      </c>
      <c r="G102" s="11" t="n">
        <f aca="false">COUNTIFS('All Cases'!$D$2:$D$323,A102,'All Cases'!$F$2:$F$323,"Other/Unknown")</f>
        <v>0</v>
      </c>
    </row>
    <row r="103" customFormat="false" ht="15" hidden="false" customHeight="false" outlineLevel="0" collapsed="false">
      <c r="A103" s="12" t="s">
        <v>1466</v>
      </c>
      <c r="B103" s="12" t="n">
        <f aca="false">COUNTIF('All Cases'!$D$2:$D$323,A103)</f>
        <v>1</v>
      </c>
      <c r="C103" s="12" t="n">
        <f aca="false">COUNTIFS('All Cases'!$D$2:$D$323,A103,'All Cases'!$F$2:$F$323,"Dismissed/Withdrawn")</f>
        <v>0</v>
      </c>
      <c r="D103" s="12" t="n">
        <f aca="false">COUNTIFS('All Cases'!$D$2:$D$323,A103,'All Cases'!$F$2:$F$323,"Default Judgment")</f>
        <v>1</v>
      </c>
      <c r="E103" s="12" t="n">
        <f aca="false">COUNTIFS('All Cases'!$D$2:$D$323,A103,'All Cases'!$F$2:$F$323,"Active")</f>
        <v>0</v>
      </c>
      <c r="F103" s="12" t="n">
        <f aca="false">COUNTIFS('All Cases'!$D$2:$D$323,A103,'All Cases'!$F$2:$F$323,"Merits/Judgment")</f>
        <v>0</v>
      </c>
      <c r="G103" s="12" t="n">
        <f aca="false">COUNTIFS('All Cases'!$D$2:$D$323,A103,'All Cases'!$F$2:$F$323,"Other/Unknown")</f>
        <v>0</v>
      </c>
    </row>
    <row r="104" customFormat="false" ht="15" hidden="false" customHeight="false" outlineLevel="0" collapsed="false">
      <c r="A104" s="11" t="s">
        <v>504</v>
      </c>
      <c r="B104" s="11" t="n">
        <f aca="false">COUNTIF('All Cases'!$D$2:$D$323,A104)</f>
        <v>1</v>
      </c>
      <c r="C104" s="11" t="n">
        <f aca="false">COUNTIFS('All Cases'!$D$2:$D$323,A104,'All Cases'!$F$2:$F$323,"Dismissed/Withdrawn")</f>
        <v>0</v>
      </c>
      <c r="D104" s="11" t="n">
        <f aca="false">COUNTIFS('All Cases'!$D$2:$D$323,A104,'All Cases'!$F$2:$F$323,"Default Judgment")</f>
        <v>0</v>
      </c>
      <c r="E104" s="11" t="n">
        <f aca="false">COUNTIFS('All Cases'!$D$2:$D$323,A104,'All Cases'!$F$2:$F$323,"Active")</f>
        <v>0</v>
      </c>
      <c r="F104" s="11" t="n">
        <f aca="false">COUNTIFS('All Cases'!$D$2:$D$323,A104,'All Cases'!$F$2:$F$323,"Merits/Judgment")</f>
        <v>1</v>
      </c>
      <c r="G104" s="11" t="n">
        <f aca="false">COUNTIFS('All Cases'!$D$2:$D$323,A104,'All Cases'!$F$2:$F$323,"Other/Unknown")</f>
        <v>0</v>
      </c>
    </row>
    <row r="105" customFormat="false" ht="15" hidden="false" customHeight="false" outlineLevel="0" collapsed="false">
      <c r="A105" s="12" t="s">
        <v>1433</v>
      </c>
      <c r="B105" s="12" t="n">
        <f aca="false">COUNTIF('All Cases'!$D$2:$D$323,A105)</f>
        <v>1</v>
      </c>
      <c r="C105" s="12" t="n">
        <f aca="false">COUNTIFS('All Cases'!$D$2:$D$323,A105,'All Cases'!$F$2:$F$323,"Dismissed/Withdrawn")</f>
        <v>1</v>
      </c>
      <c r="D105" s="12" t="n">
        <f aca="false">COUNTIFS('All Cases'!$D$2:$D$323,A105,'All Cases'!$F$2:$F$323,"Default Judgment")</f>
        <v>0</v>
      </c>
      <c r="E105" s="12" t="n">
        <f aca="false">COUNTIFS('All Cases'!$D$2:$D$323,A105,'All Cases'!$F$2:$F$323,"Active")</f>
        <v>0</v>
      </c>
      <c r="F105" s="12" t="n">
        <f aca="false">COUNTIFS('All Cases'!$D$2:$D$323,A105,'All Cases'!$F$2:$F$323,"Merits/Judgment")</f>
        <v>0</v>
      </c>
      <c r="G105" s="12" t="n">
        <f aca="false">COUNTIFS('All Cases'!$D$2:$D$323,A105,'All Cases'!$F$2:$F$323,"Other/Unknown")</f>
        <v>0</v>
      </c>
    </row>
    <row r="106" customFormat="false" ht="15" hidden="false" customHeight="false" outlineLevel="0" collapsed="false">
      <c r="A106" s="11" t="s">
        <v>864</v>
      </c>
      <c r="B106" s="11" t="n">
        <f aca="false">COUNTIF('All Cases'!$D$2:$D$323,A106)</f>
        <v>1</v>
      </c>
      <c r="C106" s="11" t="n">
        <f aca="false">COUNTIFS('All Cases'!$D$2:$D$323,A106,'All Cases'!$F$2:$F$323,"Dismissed/Withdrawn")</f>
        <v>1</v>
      </c>
      <c r="D106" s="11" t="n">
        <f aca="false">COUNTIFS('All Cases'!$D$2:$D$323,A106,'All Cases'!$F$2:$F$323,"Default Judgment")</f>
        <v>0</v>
      </c>
      <c r="E106" s="11" t="n">
        <f aca="false">COUNTIFS('All Cases'!$D$2:$D$323,A106,'All Cases'!$F$2:$F$323,"Active")</f>
        <v>0</v>
      </c>
      <c r="F106" s="11" t="n">
        <f aca="false">COUNTIFS('All Cases'!$D$2:$D$323,A106,'All Cases'!$F$2:$F$323,"Merits/Judgment")</f>
        <v>0</v>
      </c>
      <c r="G106" s="11" t="n">
        <f aca="false">COUNTIFS('All Cases'!$D$2:$D$323,A106,'All Cases'!$F$2:$F$323,"Other/Unknown")</f>
        <v>0</v>
      </c>
    </row>
    <row r="107" customFormat="false" ht="15" hidden="false" customHeight="false" outlineLevel="0" collapsed="false">
      <c r="A107" s="12" t="s">
        <v>257</v>
      </c>
      <c r="B107" s="12" t="n">
        <f aca="false">COUNTIF('All Cases'!$D$2:$D$323,A107)</f>
        <v>1</v>
      </c>
      <c r="C107" s="12" t="n">
        <f aca="false">COUNTIFS('All Cases'!$D$2:$D$323,A107,'All Cases'!$F$2:$F$323,"Dismissed/Withdrawn")</f>
        <v>1</v>
      </c>
      <c r="D107" s="12" t="n">
        <f aca="false">COUNTIFS('All Cases'!$D$2:$D$323,A107,'All Cases'!$F$2:$F$323,"Default Judgment")</f>
        <v>0</v>
      </c>
      <c r="E107" s="12" t="n">
        <f aca="false">COUNTIFS('All Cases'!$D$2:$D$323,A107,'All Cases'!$F$2:$F$323,"Active")</f>
        <v>0</v>
      </c>
      <c r="F107" s="12" t="n">
        <f aca="false">COUNTIFS('All Cases'!$D$2:$D$323,A107,'All Cases'!$F$2:$F$323,"Merits/Judgment")</f>
        <v>0</v>
      </c>
      <c r="G107" s="12" t="n">
        <f aca="false">COUNTIFS('All Cases'!$D$2:$D$323,A107,'All Cases'!$F$2:$F$323,"Other/Unknown")</f>
        <v>0</v>
      </c>
    </row>
    <row r="108" customFormat="false" ht="15" hidden="false" customHeight="false" outlineLevel="0" collapsed="false">
      <c r="A108" s="11" t="s">
        <v>561</v>
      </c>
      <c r="B108" s="11" t="n">
        <f aca="false">COUNTIF('All Cases'!$D$2:$D$323,A108)</f>
        <v>1</v>
      </c>
      <c r="C108" s="11" t="n">
        <f aca="false">COUNTIFS('All Cases'!$D$2:$D$323,A108,'All Cases'!$F$2:$F$323,"Dismissed/Withdrawn")</f>
        <v>0</v>
      </c>
      <c r="D108" s="11" t="n">
        <f aca="false">COUNTIFS('All Cases'!$D$2:$D$323,A108,'All Cases'!$F$2:$F$323,"Default Judgment")</f>
        <v>0</v>
      </c>
      <c r="E108" s="11" t="n">
        <f aca="false">COUNTIFS('All Cases'!$D$2:$D$323,A108,'All Cases'!$F$2:$F$323,"Active")</f>
        <v>0</v>
      </c>
      <c r="F108" s="11" t="n">
        <f aca="false">COUNTIFS('All Cases'!$D$2:$D$323,A108,'All Cases'!$F$2:$F$323,"Merits/Judgment")</f>
        <v>0</v>
      </c>
      <c r="G108" s="11" t="n">
        <f aca="false">COUNTIFS('All Cases'!$D$2:$D$323,A108,'All Cases'!$F$2:$F$323,"Other/Unknown")</f>
        <v>1</v>
      </c>
    </row>
    <row r="109" customFormat="false" ht="15" hidden="false" customHeight="false" outlineLevel="0" collapsed="false">
      <c r="A109" s="12" t="s">
        <v>757</v>
      </c>
      <c r="B109" s="12" t="n">
        <f aca="false">COUNTIF('All Cases'!$D$2:$D$323,A109)</f>
        <v>1</v>
      </c>
      <c r="C109" s="12" t="n">
        <f aca="false">COUNTIFS('All Cases'!$D$2:$D$323,A109,'All Cases'!$F$2:$F$323,"Dismissed/Withdrawn")</f>
        <v>1</v>
      </c>
      <c r="D109" s="12" t="n">
        <f aca="false">COUNTIFS('All Cases'!$D$2:$D$323,A109,'All Cases'!$F$2:$F$323,"Default Judgment")</f>
        <v>0</v>
      </c>
      <c r="E109" s="12" t="n">
        <f aca="false">COUNTIFS('All Cases'!$D$2:$D$323,A109,'All Cases'!$F$2:$F$323,"Active")</f>
        <v>0</v>
      </c>
      <c r="F109" s="12" t="n">
        <f aca="false">COUNTIFS('All Cases'!$D$2:$D$323,A109,'All Cases'!$F$2:$F$323,"Merits/Judgment")</f>
        <v>0</v>
      </c>
      <c r="G109" s="12" t="n">
        <f aca="false">COUNTIFS('All Cases'!$D$2:$D$323,A109,'All Cases'!$F$2:$F$323,"Other/Unknown")</f>
        <v>0</v>
      </c>
    </row>
    <row r="110" customFormat="false" ht="15" hidden="false" customHeight="false" outlineLevel="0" collapsed="false">
      <c r="A110" s="11" t="s">
        <v>657</v>
      </c>
      <c r="B110" s="11" t="n">
        <f aca="false">COUNTIF('All Cases'!$D$2:$D$323,A110)</f>
        <v>1</v>
      </c>
      <c r="C110" s="11" t="n">
        <f aca="false">COUNTIFS('All Cases'!$D$2:$D$323,A110,'All Cases'!$F$2:$F$323,"Dismissed/Withdrawn")</f>
        <v>1</v>
      </c>
      <c r="D110" s="11" t="n">
        <f aca="false">COUNTIFS('All Cases'!$D$2:$D$323,A110,'All Cases'!$F$2:$F$323,"Default Judgment")</f>
        <v>0</v>
      </c>
      <c r="E110" s="11" t="n">
        <f aca="false">COUNTIFS('All Cases'!$D$2:$D$323,A110,'All Cases'!$F$2:$F$323,"Active")</f>
        <v>0</v>
      </c>
      <c r="F110" s="11" t="n">
        <f aca="false">COUNTIFS('All Cases'!$D$2:$D$323,A110,'All Cases'!$F$2:$F$323,"Merits/Judgment")</f>
        <v>0</v>
      </c>
      <c r="G110" s="11" t="n">
        <f aca="false">COUNTIFS('All Cases'!$D$2:$D$323,A110,'All Cases'!$F$2:$F$323,"Other/Unknown")</f>
        <v>0</v>
      </c>
    </row>
    <row r="111" customFormat="false" ht="15" hidden="false" customHeight="false" outlineLevel="0" collapsed="false">
      <c r="A111" s="12" t="s">
        <v>652</v>
      </c>
      <c r="B111" s="12" t="n">
        <f aca="false">COUNTIF('All Cases'!$D$2:$D$323,A111)</f>
        <v>1</v>
      </c>
      <c r="C111" s="12" t="n">
        <f aca="false">COUNTIFS('All Cases'!$D$2:$D$323,A111,'All Cases'!$F$2:$F$323,"Dismissed/Withdrawn")</f>
        <v>0</v>
      </c>
      <c r="D111" s="12" t="n">
        <f aca="false">COUNTIFS('All Cases'!$D$2:$D$323,A111,'All Cases'!$F$2:$F$323,"Default Judgment")</f>
        <v>0</v>
      </c>
      <c r="E111" s="12" t="n">
        <f aca="false">COUNTIFS('All Cases'!$D$2:$D$323,A111,'All Cases'!$F$2:$F$323,"Active")</f>
        <v>0</v>
      </c>
      <c r="F111" s="12" t="n">
        <f aca="false">COUNTIFS('All Cases'!$D$2:$D$323,A111,'All Cases'!$F$2:$F$323,"Merits/Judgment")</f>
        <v>0</v>
      </c>
      <c r="G111" s="12" t="n">
        <f aca="false">COUNTIFS('All Cases'!$D$2:$D$323,A111,'All Cases'!$F$2:$F$323,"Other/Unknown")</f>
        <v>1</v>
      </c>
    </row>
    <row r="112" customFormat="false" ht="15" hidden="false" customHeight="false" outlineLevel="0" collapsed="false">
      <c r="A112" s="11" t="s">
        <v>153</v>
      </c>
      <c r="B112" s="11" t="n">
        <f aca="false">COUNTIF('All Cases'!$D$2:$D$323,A112)</f>
        <v>1</v>
      </c>
      <c r="C112" s="11" t="n">
        <f aca="false">COUNTIFS('All Cases'!$D$2:$D$323,A112,'All Cases'!$F$2:$F$323,"Dismissed/Withdrawn")</f>
        <v>1</v>
      </c>
      <c r="D112" s="11" t="n">
        <f aca="false">COUNTIFS('All Cases'!$D$2:$D$323,A112,'All Cases'!$F$2:$F$323,"Default Judgment")</f>
        <v>0</v>
      </c>
      <c r="E112" s="11" t="n">
        <f aca="false">COUNTIFS('All Cases'!$D$2:$D$323,A112,'All Cases'!$F$2:$F$323,"Active")</f>
        <v>0</v>
      </c>
      <c r="F112" s="11" t="n">
        <f aca="false">COUNTIFS('All Cases'!$D$2:$D$323,A112,'All Cases'!$F$2:$F$323,"Merits/Judgment")</f>
        <v>0</v>
      </c>
      <c r="G112" s="11" t="n">
        <f aca="false">COUNTIFS('All Cases'!$D$2:$D$323,A112,'All Cases'!$F$2:$F$323,"Other/Unknown")</f>
        <v>0</v>
      </c>
    </row>
    <row r="113" customFormat="false" ht="15" hidden="false" customHeight="false" outlineLevel="0" collapsed="false">
      <c r="A113" s="12" t="s">
        <v>483</v>
      </c>
      <c r="B113" s="12" t="n">
        <f aca="false">COUNTIF('All Cases'!$D$2:$D$323,A113)</f>
        <v>1</v>
      </c>
      <c r="C113" s="12" t="n">
        <f aca="false">COUNTIFS('All Cases'!$D$2:$D$323,A113,'All Cases'!$F$2:$F$323,"Dismissed/Withdrawn")</f>
        <v>0</v>
      </c>
      <c r="D113" s="12" t="n">
        <f aca="false">COUNTIFS('All Cases'!$D$2:$D$323,A113,'All Cases'!$F$2:$F$323,"Default Judgment")</f>
        <v>0</v>
      </c>
      <c r="E113" s="12" t="n">
        <f aca="false">COUNTIFS('All Cases'!$D$2:$D$323,A113,'All Cases'!$F$2:$F$323,"Active")</f>
        <v>1</v>
      </c>
      <c r="F113" s="12" t="n">
        <f aca="false">COUNTIFS('All Cases'!$D$2:$D$323,A113,'All Cases'!$F$2:$F$323,"Merits/Judgment")</f>
        <v>0</v>
      </c>
      <c r="G113" s="12" t="n">
        <f aca="false">COUNTIFS('All Cases'!$D$2:$D$323,A113,'All Cases'!$F$2:$F$323,"Other/Unknown")</f>
        <v>0</v>
      </c>
    </row>
    <row r="114" customFormat="false" ht="15" hidden="false" customHeight="false" outlineLevel="0" collapsed="false">
      <c r="A114" s="11" t="s">
        <v>346</v>
      </c>
      <c r="B114" s="11" t="n">
        <f aca="false">COUNTIF('All Cases'!$D$2:$D$323,A114)</f>
        <v>1</v>
      </c>
      <c r="C114" s="11" t="n">
        <f aca="false">COUNTIFS('All Cases'!$D$2:$D$323,A114,'All Cases'!$F$2:$F$323,"Dismissed/Withdrawn")</f>
        <v>0</v>
      </c>
      <c r="D114" s="11" t="n">
        <f aca="false">COUNTIFS('All Cases'!$D$2:$D$323,A114,'All Cases'!$F$2:$F$323,"Default Judgment")</f>
        <v>0</v>
      </c>
      <c r="E114" s="11" t="n">
        <f aca="false">COUNTIFS('All Cases'!$D$2:$D$323,A114,'All Cases'!$F$2:$F$323,"Active")</f>
        <v>0</v>
      </c>
      <c r="F114" s="11" t="n">
        <f aca="false">COUNTIFS('All Cases'!$D$2:$D$323,A114,'All Cases'!$F$2:$F$323,"Merits/Judgment")</f>
        <v>1</v>
      </c>
      <c r="G114" s="11" t="n">
        <f aca="false">COUNTIFS('All Cases'!$D$2:$D$323,A114,'All Cases'!$F$2:$F$323,"Other/Unknown")</f>
        <v>0</v>
      </c>
    </row>
    <row r="115" customFormat="false" ht="15" hidden="false" customHeight="false" outlineLevel="0" collapsed="false">
      <c r="A115" s="12" t="s">
        <v>187</v>
      </c>
      <c r="B115" s="12" t="n">
        <f aca="false">COUNTIF('All Cases'!$D$2:$D$323,A115)</f>
        <v>1</v>
      </c>
      <c r="C115" s="12" t="n">
        <f aca="false">COUNTIFS('All Cases'!$D$2:$D$323,A115,'All Cases'!$F$2:$F$323,"Dismissed/Withdrawn")</f>
        <v>1</v>
      </c>
      <c r="D115" s="12" t="n">
        <f aca="false">COUNTIFS('All Cases'!$D$2:$D$323,A115,'All Cases'!$F$2:$F$323,"Default Judgment")</f>
        <v>0</v>
      </c>
      <c r="E115" s="12" t="n">
        <f aca="false">COUNTIFS('All Cases'!$D$2:$D$323,A115,'All Cases'!$F$2:$F$323,"Active")</f>
        <v>0</v>
      </c>
      <c r="F115" s="12" t="n">
        <f aca="false">COUNTIFS('All Cases'!$D$2:$D$323,A115,'All Cases'!$F$2:$F$323,"Merits/Judgment")</f>
        <v>0</v>
      </c>
      <c r="G115" s="12" t="n">
        <f aca="false">COUNTIFS('All Cases'!$D$2:$D$323,A115,'All Cases'!$F$2:$F$323,"Other/Unknown")</f>
        <v>0</v>
      </c>
    </row>
    <row r="116" customFormat="false" ht="15" hidden="false" customHeight="false" outlineLevel="0" collapsed="false">
      <c r="A116" s="11" t="s">
        <v>461</v>
      </c>
      <c r="B116" s="11" t="n">
        <f aca="false">COUNTIF('All Cases'!$D$2:$D$323,A116)</f>
        <v>1</v>
      </c>
      <c r="C116" s="11" t="n">
        <f aca="false">COUNTIFS('All Cases'!$D$2:$D$323,A116,'All Cases'!$F$2:$F$323,"Dismissed/Withdrawn")</f>
        <v>1</v>
      </c>
      <c r="D116" s="11" t="n">
        <f aca="false">COUNTIFS('All Cases'!$D$2:$D$323,A116,'All Cases'!$F$2:$F$323,"Default Judgment")</f>
        <v>0</v>
      </c>
      <c r="E116" s="11" t="n">
        <f aca="false">COUNTIFS('All Cases'!$D$2:$D$323,A116,'All Cases'!$F$2:$F$323,"Active")</f>
        <v>0</v>
      </c>
      <c r="F116" s="11" t="n">
        <f aca="false">COUNTIFS('All Cases'!$D$2:$D$323,A116,'All Cases'!$F$2:$F$323,"Merits/Judgment")</f>
        <v>0</v>
      </c>
      <c r="G116" s="11" t="n">
        <f aca="false">COUNTIFS('All Cases'!$D$2:$D$323,A116,'All Cases'!$F$2:$F$323,"Other/Unknown")</f>
        <v>0</v>
      </c>
    </row>
    <row r="117" customFormat="false" ht="15" hidden="false" customHeight="false" outlineLevel="0" collapsed="false">
      <c r="A117" s="12" t="s">
        <v>477</v>
      </c>
      <c r="B117" s="12" t="n">
        <f aca="false">COUNTIF('All Cases'!$D$2:$D$323,A117)</f>
        <v>1</v>
      </c>
      <c r="C117" s="12" t="n">
        <f aca="false">COUNTIFS('All Cases'!$D$2:$D$323,A117,'All Cases'!$F$2:$F$323,"Dismissed/Withdrawn")</f>
        <v>1</v>
      </c>
      <c r="D117" s="12" t="n">
        <f aca="false">COUNTIFS('All Cases'!$D$2:$D$323,A117,'All Cases'!$F$2:$F$323,"Default Judgment")</f>
        <v>0</v>
      </c>
      <c r="E117" s="12" t="n">
        <f aca="false">COUNTIFS('All Cases'!$D$2:$D$323,A117,'All Cases'!$F$2:$F$323,"Active")</f>
        <v>0</v>
      </c>
      <c r="F117" s="12" t="n">
        <f aca="false">COUNTIFS('All Cases'!$D$2:$D$323,A117,'All Cases'!$F$2:$F$323,"Merits/Judgment")</f>
        <v>0</v>
      </c>
      <c r="G117" s="12" t="n">
        <f aca="false">COUNTIFS('All Cases'!$D$2:$D$323,A117,'All Cases'!$F$2:$F$323,"Other/Unknown")</f>
        <v>0</v>
      </c>
    </row>
    <row r="118" customFormat="false" ht="15" hidden="false" customHeight="false" outlineLevel="0" collapsed="false">
      <c r="A118" s="11" t="s">
        <v>147</v>
      </c>
      <c r="B118" s="11" t="n">
        <f aca="false">COUNTIF('All Cases'!$D$2:$D$323,A118)</f>
        <v>1</v>
      </c>
      <c r="C118" s="11" t="n">
        <f aca="false">COUNTIFS('All Cases'!$D$2:$D$323,A118,'All Cases'!$F$2:$F$323,"Dismissed/Withdrawn")</f>
        <v>1</v>
      </c>
      <c r="D118" s="11" t="n">
        <f aca="false">COUNTIFS('All Cases'!$D$2:$D$323,A118,'All Cases'!$F$2:$F$323,"Default Judgment")</f>
        <v>0</v>
      </c>
      <c r="E118" s="11" t="n">
        <f aca="false">COUNTIFS('All Cases'!$D$2:$D$323,A118,'All Cases'!$F$2:$F$323,"Active")</f>
        <v>0</v>
      </c>
      <c r="F118" s="11" t="n">
        <f aca="false">COUNTIFS('All Cases'!$D$2:$D$323,A118,'All Cases'!$F$2:$F$323,"Merits/Judgment")</f>
        <v>0</v>
      </c>
      <c r="G118" s="11" t="n">
        <f aca="false">COUNTIFS('All Cases'!$D$2:$D$323,A118,'All Cases'!$F$2:$F$323,"Other/Unknown")</f>
        <v>0</v>
      </c>
    </row>
    <row r="119" customFormat="false" ht="15" hidden="false" customHeight="false" outlineLevel="0" collapsed="false">
      <c r="A119" s="12" t="s">
        <v>1097</v>
      </c>
      <c r="B119" s="12" t="n">
        <f aca="false">COUNTIF('All Cases'!$D$2:$D$323,A119)</f>
        <v>1</v>
      </c>
      <c r="C119" s="12" t="n">
        <f aca="false">COUNTIFS('All Cases'!$D$2:$D$323,A119,'All Cases'!$F$2:$F$323,"Dismissed/Withdrawn")</f>
        <v>0</v>
      </c>
      <c r="D119" s="12" t="n">
        <f aca="false">COUNTIFS('All Cases'!$D$2:$D$323,A119,'All Cases'!$F$2:$F$323,"Default Judgment")</f>
        <v>0</v>
      </c>
      <c r="E119" s="12" t="n">
        <f aca="false">COUNTIFS('All Cases'!$D$2:$D$323,A119,'All Cases'!$F$2:$F$323,"Active")</f>
        <v>0</v>
      </c>
      <c r="F119" s="12" t="n">
        <f aca="false">COUNTIFS('All Cases'!$D$2:$D$323,A119,'All Cases'!$F$2:$F$323,"Merits/Judgment")</f>
        <v>1</v>
      </c>
      <c r="G119" s="12" t="n">
        <f aca="false">COUNTIFS('All Cases'!$D$2:$D$323,A119,'All Cases'!$F$2:$F$323,"Other/Unknown")</f>
        <v>0</v>
      </c>
    </row>
    <row r="120" customFormat="false" ht="15" hidden="false" customHeight="false" outlineLevel="0" collapsed="false">
      <c r="A120" s="11" t="s">
        <v>763</v>
      </c>
      <c r="B120" s="11" t="n">
        <f aca="false">COUNTIF('All Cases'!$D$2:$D$323,A120)</f>
        <v>1</v>
      </c>
      <c r="C120" s="11" t="n">
        <f aca="false">COUNTIFS('All Cases'!$D$2:$D$323,A120,'All Cases'!$F$2:$F$323,"Dismissed/Withdrawn")</f>
        <v>1</v>
      </c>
      <c r="D120" s="11" t="n">
        <f aca="false">COUNTIFS('All Cases'!$D$2:$D$323,A120,'All Cases'!$F$2:$F$323,"Default Judgment")</f>
        <v>0</v>
      </c>
      <c r="E120" s="11" t="n">
        <f aca="false">COUNTIFS('All Cases'!$D$2:$D$323,A120,'All Cases'!$F$2:$F$323,"Active")</f>
        <v>0</v>
      </c>
      <c r="F120" s="11" t="n">
        <f aca="false">COUNTIFS('All Cases'!$D$2:$D$323,A120,'All Cases'!$F$2:$F$323,"Merits/Judgment")</f>
        <v>0</v>
      </c>
      <c r="G120" s="11" t="n">
        <f aca="false">COUNTIFS('All Cases'!$D$2:$D$323,A120,'All Cases'!$F$2:$F$323,"Other/Unknown")</f>
        <v>0</v>
      </c>
    </row>
    <row r="121" customFormat="false" ht="15" hidden="false" customHeight="false" outlineLevel="0" collapsed="false">
      <c r="A121" s="12" t="s">
        <v>324</v>
      </c>
      <c r="B121" s="12" t="n">
        <f aca="false">COUNTIF('All Cases'!$D$2:$D$323,A121)</f>
        <v>1</v>
      </c>
      <c r="C121" s="12" t="n">
        <f aca="false">COUNTIFS('All Cases'!$D$2:$D$323,A121,'All Cases'!$F$2:$F$323,"Dismissed/Withdrawn")</f>
        <v>1</v>
      </c>
      <c r="D121" s="12" t="n">
        <f aca="false">COUNTIFS('All Cases'!$D$2:$D$323,A121,'All Cases'!$F$2:$F$323,"Default Judgment")</f>
        <v>0</v>
      </c>
      <c r="E121" s="12" t="n">
        <f aca="false">COUNTIFS('All Cases'!$D$2:$D$323,A121,'All Cases'!$F$2:$F$323,"Active")</f>
        <v>0</v>
      </c>
      <c r="F121" s="12" t="n">
        <f aca="false">COUNTIFS('All Cases'!$D$2:$D$323,A121,'All Cases'!$F$2:$F$323,"Merits/Judgment")</f>
        <v>0</v>
      </c>
      <c r="G121" s="12" t="n">
        <f aca="false">COUNTIFS('All Cases'!$D$2:$D$323,A121,'All Cases'!$F$2:$F$323,"Other/Unknown")</f>
        <v>0</v>
      </c>
    </row>
    <row r="122" customFormat="false" ht="15" hidden="false" customHeight="false" outlineLevel="0" collapsed="false">
      <c r="A122" s="11" t="s">
        <v>849</v>
      </c>
      <c r="B122" s="11" t="n">
        <f aca="false">COUNTIF('All Cases'!$D$2:$D$323,A122)</f>
        <v>1</v>
      </c>
      <c r="C122" s="11" t="n">
        <f aca="false">COUNTIFS('All Cases'!$D$2:$D$323,A122,'All Cases'!$F$2:$F$323,"Dismissed/Withdrawn")</f>
        <v>0</v>
      </c>
      <c r="D122" s="11" t="n">
        <f aca="false">COUNTIFS('All Cases'!$D$2:$D$323,A122,'All Cases'!$F$2:$F$323,"Default Judgment")</f>
        <v>0</v>
      </c>
      <c r="E122" s="11" t="n">
        <f aca="false">COUNTIFS('All Cases'!$D$2:$D$323,A122,'All Cases'!$F$2:$F$323,"Active")</f>
        <v>0</v>
      </c>
      <c r="F122" s="11" t="n">
        <f aca="false">COUNTIFS('All Cases'!$D$2:$D$323,A122,'All Cases'!$F$2:$F$323,"Merits/Judgment")</f>
        <v>0</v>
      </c>
      <c r="G122" s="11" t="n">
        <f aca="false">COUNTIFS('All Cases'!$D$2:$D$323,A122,'All Cases'!$F$2:$F$323,"Other/Unknown")</f>
        <v>1</v>
      </c>
    </row>
    <row r="123" customFormat="false" ht="15" hidden="false" customHeight="false" outlineLevel="0" collapsed="false">
      <c r="A123" s="12" t="s">
        <v>1158</v>
      </c>
      <c r="B123" s="12" t="n">
        <f aca="false">COUNTIF('All Cases'!$D$2:$D$323,A123)</f>
        <v>1</v>
      </c>
      <c r="C123" s="12" t="n">
        <f aca="false">COUNTIFS('All Cases'!$D$2:$D$323,A123,'All Cases'!$F$2:$F$323,"Dismissed/Withdrawn")</f>
        <v>1</v>
      </c>
      <c r="D123" s="12" t="n">
        <f aca="false">COUNTIFS('All Cases'!$D$2:$D$323,A123,'All Cases'!$F$2:$F$323,"Default Judgment")</f>
        <v>0</v>
      </c>
      <c r="E123" s="12" t="n">
        <f aca="false">COUNTIFS('All Cases'!$D$2:$D$323,A123,'All Cases'!$F$2:$F$323,"Active")</f>
        <v>0</v>
      </c>
      <c r="F123" s="12" t="n">
        <f aca="false">COUNTIFS('All Cases'!$D$2:$D$323,A123,'All Cases'!$F$2:$F$323,"Merits/Judgment")</f>
        <v>0</v>
      </c>
      <c r="G123" s="12" t="n">
        <f aca="false">COUNTIFS('All Cases'!$D$2:$D$323,A123,'All Cases'!$F$2:$F$323,"Other/Unknown")</f>
        <v>0</v>
      </c>
    </row>
    <row r="124" customFormat="false" ht="15" hidden="false" customHeight="false" outlineLevel="0" collapsed="false">
      <c r="A124" s="11" t="s">
        <v>1054</v>
      </c>
      <c r="B124" s="11" t="n">
        <f aca="false">COUNTIF('All Cases'!$D$2:$D$323,A124)</f>
        <v>1</v>
      </c>
      <c r="C124" s="11" t="n">
        <f aca="false">COUNTIFS('All Cases'!$D$2:$D$323,A124,'All Cases'!$F$2:$F$323,"Dismissed/Withdrawn")</f>
        <v>0</v>
      </c>
      <c r="D124" s="11" t="n">
        <f aca="false">COUNTIFS('All Cases'!$D$2:$D$323,A124,'All Cases'!$F$2:$F$323,"Default Judgment")</f>
        <v>0</v>
      </c>
      <c r="E124" s="11" t="n">
        <f aca="false">COUNTIFS('All Cases'!$D$2:$D$323,A124,'All Cases'!$F$2:$F$323,"Active")</f>
        <v>0</v>
      </c>
      <c r="F124" s="11" t="n">
        <f aca="false">COUNTIFS('All Cases'!$D$2:$D$323,A124,'All Cases'!$F$2:$F$323,"Merits/Judgment")</f>
        <v>1</v>
      </c>
      <c r="G124" s="11" t="n">
        <f aca="false">COUNTIFS('All Cases'!$D$2:$D$323,A124,'All Cases'!$F$2:$F$323,"Other/Unknown")</f>
        <v>0</v>
      </c>
    </row>
    <row r="125" customFormat="false" ht="15" hidden="false" customHeight="false" outlineLevel="0" collapsed="false">
      <c r="A125" s="12" t="s">
        <v>1443</v>
      </c>
      <c r="B125" s="12" t="n">
        <f aca="false">COUNTIF('All Cases'!$D$2:$D$323,A125)</f>
        <v>1</v>
      </c>
      <c r="C125" s="12" t="n">
        <f aca="false">COUNTIFS('All Cases'!$D$2:$D$323,A125,'All Cases'!$F$2:$F$323,"Dismissed/Withdrawn")</f>
        <v>1</v>
      </c>
      <c r="D125" s="12" t="n">
        <f aca="false">COUNTIFS('All Cases'!$D$2:$D$323,A125,'All Cases'!$F$2:$F$323,"Default Judgment")</f>
        <v>0</v>
      </c>
      <c r="E125" s="12" t="n">
        <f aca="false">COUNTIFS('All Cases'!$D$2:$D$323,A125,'All Cases'!$F$2:$F$323,"Active")</f>
        <v>0</v>
      </c>
      <c r="F125" s="12" t="n">
        <f aca="false">COUNTIFS('All Cases'!$D$2:$D$323,A125,'All Cases'!$F$2:$F$323,"Merits/Judgment")</f>
        <v>0</v>
      </c>
      <c r="G125" s="12" t="n">
        <f aca="false">COUNTIFS('All Cases'!$D$2:$D$323,A125,'All Cases'!$F$2:$F$323,"Other/Unknown")</f>
        <v>0</v>
      </c>
    </row>
    <row r="126" customFormat="false" ht="15" hidden="false" customHeight="false" outlineLevel="0" collapsed="false">
      <c r="A126" s="11" t="s">
        <v>252</v>
      </c>
      <c r="B126" s="11" t="n">
        <f aca="false">COUNTIF('All Cases'!$D$2:$D$323,A126)</f>
        <v>1</v>
      </c>
      <c r="C126" s="11" t="n">
        <f aca="false">COUNTIFS('All Cases'!$D$2:$D$323,A126,'All Cases'!$F$2:$F$323,"Dismissed/Withdrawn")</f>
        <v>1</v>
      </c>
      <c r="D126" s="11" t="n">
        <f aca="false">COUNTIFS('All Cases'!$D$2:$D$323,A126,'All Cases'!$F$2:$F$323,"Default Judgment")</f>
        <v>0</v>
      </c>
      <c r="E126" s="11" t="n">
        <f aca="false">COUNTIFS('All Cases'!$D$2:$D$323,A126,'All Cases'!$F$2:$F$323,"Active")</f>
        <v>0</v>
      </c>
      <c r="F126" s="11" t="n">
        <f aca="false">COUNTIFS('All Cases'!$D$2:$D$323,A126,'All Cases'!$F$2:$F$323,"Merits/Judgment")</f>
        <v>0</v>
      </c>
      <c r="G126" s="11" t="n">
        <f aca="false">COUNTIFS('All Cases'!$D$2:$D$323,A126,'All Cases'!$F$2:$F$323,"Other/Unknown")</f>
        <v>0</v>
      </c>
    </row>
    <row r="127" customFormat="false" ht="15" hidden="false" customHeight="false" outlineLevel="0" collapsed="false">
      <c r="A127" s="12" t="s">
        <v>1125</v>
      </c>
      <c r="B127" s="12" t="n">
        <f aca="false">COUNTIF('All Cases'!$D$2:$D$323,A127)</f>
        <v>1</v>
      </c>
      <c r="C127" s="12" t="n">
        <f aca="false">COUNTIFS('All Cases'!$D$2:$D$323,A127,'All Cases'!$F$2:$F$323,"Dismissed/Withdrawn")</f>
        <v>1</v>
      </c>
      <c r="D127" s="12" t="n">
        <f aca="false">COUNTIFS('All Cases'!$D$2:$D$323,A127,'All Cases'!$F$2:$F$323,"Default Judgment")</f>
        <v>0</v>
      </c>
      <c r="E127" s="12" t="n">
        <f aca="false">COUNTIFS('All Cases'!$D$2:$D$323,A127,'All Cases'!$F$2:$F$323,"Active")</f>
        <v>0</v>
      </c>
      <c r="F127" s="12" t="n">
        <f aca="false">COUNTIFS('All Cases'!$D$2:$D$323,A127,'All Cases'!$F$2:$F$323,"Merits/Judgment")</f>
        <v>0</v>
      </c>
      <c r="G127" s="12" t="n">
        <f aca="false">COUNTIFS('All Cases'!$D$2:$D$323,A127,'All Cases'!$F$2:$F$323,"Other/Unknown")</f>
        <v>0</v>
      </c>
    </row>
    <row r="128" customFormat="false" ht="15" hidden="false" customHeight="false" outlineLevel="0" collapsed="false">
      <c r="A128" s="11" t="s">
        <v>62</v>
      </c>
      <c r="B128" s="11" t="n">
        <f aca="false">COUNTIF('All Cases'!$D$2:$D$323,A128)</f>
        <v>1</v>
      </c>
      <c r="C128" s="11" t="n">
        <f aca="false">COUNTIFS('All Cases'!$D$2:$D$323,A128,'All Cases'!$F$2:$F$323,"Dismissed/Withdrawn")</f>
        <v>1</v>
      </c>
      <c r="D128" s="11" t="n">
        <f aca="false">COUNTIFS('All Cases'!$D$2:$D$323,A128,'All Cases'!$F$2:$F$323,"Default Judgment")</f>
        <v>0</v>
      </c>
      <c r="E128" s="11" t="n">
        <f aca="false">COUNTIFS('All Cases'!$D$2:$D$323,A128,'All Cases'!$F$2:$F$323,"Active")</f>
        <v>0</v>
      </c>
      <c r="F128" s="11" t="n">
        <f aca="false">COUNTIFS('All Cases'!$D$2:$D$323,A128,'All Cases'!$F$2:$F$323,"Merits/Judgment")</f>
        <v>0</v>
      </c>
      <c r="G128" s="11" t="n">
        <f aca="false">COUNTIFS('All Cases'!$D$2:$D$323,A128,'All Cases'!$F$2:$F$323,"Other/Unknown")</f>
        <v>0</v>
      </c>
    </row>
    <row r="129" customFormat="false" ht="15" hidden="false" customHeight="false" outlineLevel="0" collapsed="false">
      <c r="A129" s="12" t="s">
        <v>276</v>
      </c>
      <c r="B129" s="12" t="n">
        <f aca="false">COUNTIF('All Cases'!$D$2:$D$323,A129)</f>
        <v>1</v>
      </c>
      <c r="C129" s="12" t="n">
        <f aca="false">COUNTIFS('All Cases'!$D$2:$D$323,A129,'All Cases'!$F$2:$F$323,"Dismissed/Withdrawn")</f>
        <v>1</v>
      </c>
      <c r="D129" s="12" t="n">
        <f aca="false">COUNTIFS('All Cases'!$D$2:$D$323,A129,'All Cases'!$F$2:$F$323,"Default Judgment")</f>
        <v>0</v>
      </c>
      <c r="E129" s="12" t="n">
        <f aca="false">COUNTIFS('All Cases'!$D$2:$D$323,A129,'All Cases'!$F$2:$F$323,"Active")</f>
        <v>0</v>
      </c>
      <c r="F129" s="12" t="n">
        <f aca="false">COUNTIFS('All Cases'!$D$2:$D$323,A129,'All Cases'!$F$2:$F$323,"Merits/Judgment")</f>
        <v>0</v>
      </c>
      <c r="G129" s="12" t="n">
        <f aca="false">COUNTIFS('All Cases'!$D$2:$D$323,A129,'All Cases'!$F$2:$F$323,"Other/Unknown")</f>
        <v>0</v>
      </c>
    </row>
    <row r="130" customFormat="false" ht="15" hidden="false" customHeight="false" outlineLevel="0" collapsed="false">
      <c r="A130" s="11" t="s">
        <v>1489</v>
      </c>
      <c r="B130" s="11" t="n">
        <f aca="false">COUNTIF('All Cases'!$D$2:$D$323,A130)</f>
        <v>1</v>
      </c>
      <c r="C130" s="11" t="n">
        <f aca="false">COUNTIFS('All Cases'!$D$2:$D$323,A130,'All Cases'!$F$2:$F$323,"Dismissed/Withdrawn")</f>
        <v>0</v>
      </c>
      <c r="D130" s="11" t="n">
        <f aca="false">COUNTIFS('All Cases'!$D$2:$D$323,A130,'All Cases'!$F$2:$F$323,"Default Judgment")</f>
        <v>1</v>
      </c>
      <c r="E130" s="11" t="n">
        <f aca="false">COUNTIFS('All Cases'!$D$2:$D$323,A130,'All Cases'!$F$2:$F$323,"Active")</f>
        <v>0</v>
      </c>
      <c r="F130" s="11" t="n">
        <f aca="false">COUNTIFS('All Cases'!$D$2:$D$323,A130,'All Cases'!$F$2:$F$323,"Merits/Judgment")</f>
        <v>0</v>
      </c>
      <c r="G130" s="11" t="n">
        <f aca="false">COUNTIFS('All Cases'!$D$2:$D$323,A130,'All Cases'!$F$2:$F$323,"Other/Unknown")</f>
        <v>0</v>
      </c>
    </row>
    <row r="131" customFormat="false" ht="15" hidden="false" customHeight="false" outlineLevel="0" collapsed="false">
      <c r="A131" s="12" t="s">
        <v>801</v>
      </c>
      <c r="B131" s="12" t="n">
        <f aca="false">COUNTIF('All Cases'!$D$2:$D$323,A131)</f>
        <v>1</v>
      </c>
      <c r="C131" s="12" t="n">
        <f aca="false">COUNTIFS('All Cases'!$D$2:$D$323,A131,'All Cases'!$F$2:$F$323,"Dismissed/Withdrawn")</f>
        <v>0</v>
      </c>
      <c r="D131" s="12" t="n">
        <f aca="false">COUNTIFS('All Cases'!$D$2:$D$323,A131,'All Cases'!$F$2:$F$323,"Default Judgment")</f>
        <v>0</v>
      </c>
      <c r="E131" s="12" t="n">
        <f aca="false">COUNTIFS('All Cases'!$D$2:$D$323,A131,'All Cases'!$F$2:$F$323,"Active")</f>
        <v>1</v>
      </c>
      <c r="F131" s="12" t="n">
        <f aca="false">COUNTIFS('All Cases'!$D$2:$D$323,A131,'All Cases'!$F$2:$F$323,"Merits/Judgment")</f>
        <v>0</v>
      </c>
      <c r="G131" s="12" t="n">
        <f aca="false">COUNTIFS('All Cases'!$D$2:$D$323,A131,'All Cases'!$F$2:$F$323,"Other/Unknown")</f>
        <v>0</v>
      </c>
    </row>
    <row r="132" customFormat="false" ht="15" hidden="false" customHeight="false" outlineLevel="0" collapsed="false">
      <c r="A132" s="11" t="s">
        <v>662</v>
      </c>
      <c r="B132" s="11" t="n">
        <f aca="false">COUNTIF('All Cases'!$D$2:$D$323,A132)</f>
        <v>1</v>
      </c>
      <c r="C132" s="11" t="n">
        <f aca="false">COUNTIFS('All Cases'!$D$2:$D$323,A132,'All Cases'!$F$2:$F$323,"Dismissed/Withdrawn")</f>
        <v>0</v>
      </c>
      <c r="D132" s="11" t="n">
        <f aca="false">COUNTIFS('All Cases'!$D$2:$D$323,A132,'All Cases'!$F$2:$F$323,"Default Judgment")</f>
        <v>0</v>
      </c>
      <c r="E132" s="11" t="n">
        <f aca="false">COUNTIFS('All Cases'!$D$2:$D$323,A132,'All Cases'!$F$2:$F$323,"Active")</f>
        <v>0</v>
      </c>
      <c r="F132" s="11" t="n">
        <f aca="false">COUNTIFS('All Cases'!$D$2:$D$323,A132,'All Cases'!$F$2:$F$323,"Merits/Judgment")</f>
        <v>1</v>
      </c>
      <c r="G132" s="11" t="n">
        <f aca="false">COUNTIFS('All Cases'!$D$2:$D$323,A132,'All Cases'!$F$2:$F$323,"Other/Unknown")</f>
        <v>0</v>
      </c>
    </row>
    <row r="133" customFormat="false" ht="15" hidden="false" customHeight="false" outlineLevel="0" collapsed="false">
      <c r="A133" s="12" t="s">
        <v>693</v>
      </c>
      <c r="B133" s="12" t="n">
        <f aca="false">COUNTIF('All Cases'!$D$2:$D$323,A133)</f>
        <v>1</v>
      </c>
      <c r="C133" s="12" t="n">
        <f aca="false">COUNTIFS('All Cases'!$D$2:$D$323,A133,'All Cases'!$F$2:$F$323,"Dismissed/Withdrawn")</f>
        <v>1</v>
      </c>
      <c r="D133" s="12" t="n">
        <f aca="false">COUNTIFS('All Cases'!$D$2:$D$323,A133,'All Cases'!$F$2:$F$323,"Default Judgment")</f>
        <v>0</v>
      </c>
      <c r="E133" s="12" t="n">
        <f aca="false">COUNTIFS('All Cases'!$D$2:$D$323,A133,'All Cases'!$F$2:$F$323,"Active")</f>
        <v>0</v>
      </c>
      <c r="F133" s="12" t="n">
        <f aca="false">COUNTIFS('All Cases'!$D$2:$D$323,A133,'All Cases'!$F$2:$F$323,"Merits/Judgment")</f>
        <v>0</v>
      </c>
      <c r="G133" s="12" t="n">
        <f aca="false">COUNTIFS('All Cases'!$D$2:$D$323,A133,'All Cases'!$F$2:$F$323,"Other/Unknown")</f>
        <v>0</v>
      </c>
    </row>
    <row r="134" customFormat="false" ht="15" hidden="false" customHeight="false" outlineLevel="0" collapsed="false">
      <c r="A134" s="11" t="s">
        <v>796</v>
      </c>
      <c r="B134" s="11" t="n">
        <f aca="false">COUNTIF('All Cases'!$D$2:$D$323,A134)</f>
        <v>1</v>
      </c>
      <c r="C134" s="11" t="n">
        <f aca="false">COUNTIFS('All Cases'!$D$2:$D$323,A134,'All Cases'!$F$2:$F$323,"Dismissed/Withdrawn")</f>
        <v>0</v>
      </c>
      <c r="D134" s="11" t="n">
        <f aca="false">COUNTIFS('All Cases'!$D$2:$D$323,A134,'All Cases'!$F$2:$F$323,"Default Judgment")</f>
        <v>0</v>
      </c>
      <c r="E134" s="11" t="n">
        <f aca="false">COUNTIFS('All Cases'!$D$2:$D$323,A134,'All Cases'!$F$2:$F$323,"Active")</f>
        <v>0</v>
      </c>
      <c r="F134" s="11" t="n">
        <f aca="false">COUNTIFS('All Cases'!$D$2:$D$323,A134,'All Cases'!$F$2:$F$323,"Merits/Judgment")</f>
        <v>1</v>
      </c>
      <c r="G134" s="11" t="n">
        <f aca="false">COUNTIFS('All Cases'!$D$2:$D$323,A134,'All Cases'!$F$2:$F$323,"Other/Unknown")</f>
        <v>0</v>
      </c>
    </row>
    <row r="135" customFormat="false" ht="15" hidden="false" customHeight="false" outlineLevel="0" collapsed="false">
      <c r="A135" s="12" t="s">
        <v>104</v>
      </c>
      <c r="B135" s="12" t="n">
        <f aca="false">COUNTIF('All Cases'!$D$2:$D$323,A135)</f>
        <v>1</v>
      </c>
      <c r="C135" s="12" t="n">
        <f aca="false">COUNTIFS('All Cases'!$D$2:$D$323,A135,'All Cases'!$F$2:$F$323,"Dismissed/Withdrawn")</f>
        <v>1</v>
      </c>
      <c r="D135" s="12" t="n">
        <f aca="false">COUNTIFS('All Cases'!$D$2:$D$323,A135,'All Cases'!$F$2:$F$323,"Default Judgment")</f>
        <v>0</v>
      </c>
      <c r="E135" s="12" t="n">
        <f aca="false">COUNTIFS('All Cases'!$D$2:$D$323,A135,'All Cases'!$F$2:$F$323,"Active")</f>
        <v>0</v>
      </c>
      <c r="F135" s="12" t="n">
        <f aca="false">COUNTIFS('All Cases'!$D$2:$D$323,A135,'All Cases'!$F$2:$F$323,"Merits/Judgment")</f>
        <v>0</v>
      </c>
      <c r="G135" s="12" t="n">
        <f aca="false">COUNTIFS('All Cases'!$D$2:$D$323,A135,'All Cases'!$F$2:$F$323,"Other/Unknown")</f>
        <v>0</v>
      </c>
    </row>
    <row r="136" customFormat="false" ht="15" hidden="false" customHeight="false" outlineLevel="0" collapsed="false">
      <c r="A136" s="11" t="s">
        <v>1079</v>
      </c>
      <c r="B136" s="11" t="n">
        <f aca="false">COUNTIF('All Cases'!$D$2:$D$323,A136)</f>
        <v>1</v>
      </c>
      <c r="C136" s="11" t="n">
        <f aca="false">COUNTIFS('All Cases'!$D$2:$D$323,A136,'All Cases'!$F$2:$F$323,"Dismissed/Withdrawn")</f>
        <v>1</v>
      </c>
      <c r="D136" s="11" t="n">
        <f aca="false">COUNTIFS('All Cases'!$D$2:$D$323,A136,'All Cases'!$F$2:$F$323,"Default Judgment")</f>
        <v>0</v>
      </c>
      <c r="E136" s="11" t="n">
        <f aca="false">COUNTIFS('All Cases'!$D$2:$D$323,A136,'All Cases'!$F$2:$F$323,"Active")</f>
        <v>0</v>
      </c>
      <c r="F136" s="11" t="n">
        <f aca="false">COUNTIFS('All Cases'!$D$2:$D$323,A136,'All Cases'!$F$2:$F$323,"Merits/Judgment")</f>
        <v>0</v>
      </c>
      <c r="G136" s="11" t="n">
        <f aca="false">COUNTIFS('All Cases'!$D$2:$D$323,A136,'All Cases'!$F$2:$F$323,"Other/Unknown")</f>
        <v>0</v>
      </c>
    </row>
    <row r="137" customFormat="false" ht="15" hidden="false" customHeight="false" outlineLevel="0" collapsed="false">
      <c r="A137" s="12" t="s">
        <v>906</v>
      </c>
      <c r="B137" s="12" t="n">
        <f aca="false">COUNTIF('All Cases'!$D$2:$D$323,A137)</f>
        <v>1</v>
      </c>
      <c r="C137" s="12" t="n">
        <f aca="false">COUNTIFS('All Cases'!$D$2:$D$323,A137,'All Cases'!$F$2:$F$323,"Dismissed/Withdrawn")</f>
        <v>1</v>
      </c>
      <c r="D137" s="12" t="n">
        <f aca="false">COUNTIFS('All Cases'!$D$2:$D$323,A137,'All Cases'!$F$2:$F$323,"Default Judgment")</f>
        <v>0</v>
      </c>
      <c r="E137" s="12" t="n">
        <f aca="false">COUNTIFS('All Cases'!$D$2:$D$323,A137,'All Cases'!$F$2:$F$323,"Active")</f>
        <v>0</v>
      </c>
      <c r="F137" s="12" t="n">
        <f aca="false">COUNTIFS('All Cases'!$D$2:$D$323,A137,'All Cases'!$F$2:$F$323,"Merits/Judgment")</f>
        <v>0</v>
      </c>
      <c r="G137" s="12" t="n">
        <f aca="false">COUNTIFS('All Cases'!$D$2:$D$323,A137,'All Cases'!$F$2:$F$323,"Other/Unknown")</f>
        <v>0</v>
      </c>
    </row>
    <row r="138" customFormat="false" ht="15" hidden="false" customHeight="false" outlineLevel="0" collapsed="false">
      <c r="A138" s="11" t="s">
        <v>815</v>
      </c>
      <c r="B138" s="11" t="n">
        <f aca="false">COUNTIF('All Cases'!$D$2:$D$323,A138)</f>
        <v>1</v>
      </c>
      <c r="C138" s="11" t="n">
        <f aca="false">COUNTIFS('All Cases'!$D$2:$D$323,A138,'All Cases'!$F$2:$F$323,"Dismissed/Withdrawn")</f>
        <v>0</v>
      </c>
      <c r="D138" s="11" t="n">
        <f aca="false">COUNTIFS('All Cases'!$D$2:$D$323,A138,'All Cases'!$F$2:$F$323,"Default Judgment")</f>
        <v>1</v>
      </c>
      <c r="E138" s="11" t="n">
        <f aca="false">COUNTIFS('All Cases'!$D$2:$D$323,A138,'All Cases'!$F$2:$F$323,"Active")</f>
        <v>0</v>
      </c>
      <c r="F138" s="11" t="n">
        <f aca="false">COUNTIFS('All Cases'!$D$2:$D$323,A138,'All Cases'!$F$2:$F$323,"Merits/Judgment")</f>
        <v>0</v>
      </c>
      <c r="G138" s="11" t="n">
        <f aca="false">COUNTIFS('All Cases'!$D$2:$D$323,A138,'All Cases'!$F$2:$F$323,"Other/Unknown")</f>
        <v>0</v>
      </c>
    </row>
    <row r="139" customFormat="false" ht="15" hidden="false" customHeight="false" outlineLevel="0" collapsed="false">
      <c r="A139" s="12" t="s">
        <v>1494</v>
      </c>
      <c r="B139" s="12" t="n">
        <f aca="false">COUNTIF('All Cases'!$D$2:$D$323,A139)</f>
        <v>1</v>
      </c>
      <c r="C139" s="12" t="n">
        <f aca="false">COUNTIFS('All Cases'!$D$2:$D$323,A139,'All Cases'!$F$2:$F$323,"Dismissed/Withdrawn")</f>
        <v>1</v>
      </c>
      <c r="D139" s="12" t="n">
        <f aca="false">COUNTIFS('All Cases'!$D$2:$D$323,A139,'All Cases'!$F$2:$F$323,"Default Judgment")</f>
        <v>0</v>
      </c>
      <c r="E139" s="12" t="n">
        <f aca="false">COUNTIFS('All Cases'!$D$2:$D$323,A139,'All Cases'!$F$2:$F$323,"Active")</f>
        <v>0</v>
      </c>
      <c r="F139" s="12" t="n">
        <f aca="false">COUNTIFS('All Cases'!$D$2:$D$323,A139,'All Cases'!$F$2:$F$323,"Merits/Judgment")</f>
        <v>0</v>
      </c>
      <c r="G139" s="12" t="n">
        <f aca="false">COUNTIFS('All Cases'!$D$2:$D$323,A139,'All Cases'!$F$2:$F$323,"Other/Unknown")</f>
        <v>0</v>
      </c>
    </row>
    <row r="140" customFormat="false" ht="15" hidden="false" customHeight="false" outlineLevel="0" collapsed="false">
      <c r="A140" s="11" t="s">
        <v>264</v>
      </c>
      <c r="B140" s="11" t="n">
        <f aca="false">COUNTIF('All Cases'!$D$2:$D$323,A140)</f>
        <v>1</v>
      </c>
      <c r="C140" s="11" t="n">
        <f aca="false">COUNTIFS('All Cases'!$D$2:$D$323,A140,'All Cases'!$F$2:$F$323,"Dismissed/Withdrawn")</f>
        <v>1</v>
      </c>
      <c r="D140" s="11" t="n">
        <f aca="false">COUNTIFS('All Cases'!$D$2:$D$323,A140,'All Cases'!$F$2:$F$323,"Default Judgment")</f>
        <v>0</v>
      </c>
      <c r="E140" s="11" t="n">
        <f aca="false">COUNTIFS('All Cases'!$D$2:$D$323,A140,'All Cases'!$F$2:$F$323,"Active")</f>
        <v>0</v>
      </c>
      <c r="F140" s="11" t="n">
        <f aca="false">COUNTIFS('All Cases'!$D$2:$D$323,A140,'All Cases'!$F$2:$F$323,"Merits/Judgment")</f>
        <v>0</v>
      </c>
      <c r="G140" s="11" t="n">
        <f aca="false">COUNTIFS('All Cases'!$D$2:$D$323,A140,'All Cases'!$F$2:$F$323,"Other/Unknown")</f>
        <v>0</v>
      </c>
    </row>
    <row r="141" customFormat="false" ht="15" hidden="false" customHeight="false" outlineLevel="0" collapsed="false">
      <c r="A141" s="12" t="s">
        <v>1039</v>
      </c>
      <c r="B141" s="12" t="n">
        <f aca="false">COUNTIF('All Cases'!$D$2:$D$323,A141)</f>
        <v>1</v>
      </c>
      <c r="C141" s="12" t="n">
        <f aca="false">COUNTIFS('All Cases'!$D$2:$D$323,A141,'All Cases'!$F$2:$F$323,"Dismissed/Withdrawn")</f>
        <v>0</v>
      </c>
      <c r="D141" s="12" t="n">
        <f aca="false">COUNTIFS('All Cases'!$D$2:$D$323,A141,'All Cases'!$F$2:$F$323,"Default Judgment")</f>
        <v>0</v>
      </c>
      <c r="E141" s="12" t="n">
        <f aca="false">COUNTIFS('All Cases'!$D$2:$D$323,A141,'All Cases'!$F$2:$F$323,"Active")</f>
        <v>0</v>
      </c>
      <c r="F141" s="12" t="n">
        <f aca="false">COUNTIFS('All Cases'!$D$2:$D$323,A141,'All Cases'!$F$2:$F$323,"Merits/Judgment")</f>
        <v>0</v>
      </c>
      <c r="G141" s="12" t="n">
        <f aca="false">COUNTIFS('All Cases'!$D$2:$D$323,A141,'All Cases'!$F$2:$F$323,"Other/Unknown")</f>
        <v>1</v>
      </c>
    </row>
    <row r="142" customFormat="false" ht="15" hidden="false" customHeight="false" outlineLevel="0" collapsed="false">
      <c r="A142" s="11" t="s">
        <v>1130</v>
      </c>
      <c r="B142" s="11" t="n">
        <f aca="false">COUNTIF('All Cases'!$D$2:$D$323,A142)</f>
        <v>1</v>
      </c>
      <c r="C142" s="11" t="n">
        <f aca="false">COUNTIFS('All Cases'!$D$2:$D$323,A142,'All Cases'!$F$2:$F$323,"Dismissed/Withdrawn")</f>
        <v>1</v>
      </c>
      <c r="D142" s="11" t="n">
        <f aca="false">COUNTIFS('All Cases'!$D$2:$D$323,A142,'All Cases'!$F$2:$F$323,"Default Judgment")</f>
        <v>0</v>
      </c>
      <c r="E142" s="11" t="n">
        <f aca="false">COUNTIFS('All Cases'!$D$2:$D$323,A142,'All Cases'!$F$2:$F$323,"Active")</f>
        <v>0</v>
      </c>
      <c r="F142" s="11" t="n">
        <f aca="false">COUNTIFS('All Cases'!$D$2:$D$323,A142,'All Cases'!$F$2:$F$323,"Merits/Judgment")</f>
        <v>0</v>
      </c>
      <c r="G142" s="11" t="n">
        <f aca="false">COUNTIFS('All Cases'!$D$2:$D$323,A142,'All Cases'!$F$2:$F$323,"Other/Unknown")</f>
        <v>0</v>
      </c>
    </row>
    <row r="143" customFormat="false" ht="15" hidden="false" customHeight="false" outlineLevel="0" collapsed="false">
      <c r="A143" s="12" t="s">
        <v>835</v>
      </c>
      <c r="B143" s="12" t="n">
        <f aca="false">COUNTIF('All Cases'!$D$2:$D$323,A143)</f>
        <v>1</v>
      </c>
      <c r="C143" s="12" t="n">
        <f aca="false">COUNTIFS('All Cases'!$D$2:$D$323,A143,'All Cases'!$F$2:$F$323,"Dismissed/Withdrawn")</f>
        <v>1</v>
      </c>
      <c r="D143" s="12" t="n">
        <f aca="false">COUNTIFS('All Cases'!$D$2:$D$323,A143,'All Cases'!$F$2:$F$323,"Default Judgment")</f>
        <v>0</v>
      </c>
      <c r="E143" s="12" t="n">
        <f aca="false">COUNTIFS('All Cases'!$D$2:$D$323,A143,'All Cases'!$F$2:$F$323,"Active")</f>
        <v>0</v>
      </c>
      <c r="F143" s="12" t="n">
        <f aca="false">COUNTIFS('All Cases'!$D$2:$D$323,A143,'All Cases'!$F$2:$F$323,"Merits/Judgment")</f>
        <v>0</v>
      </c>
      <c r="G143" s="12" t="n">
        <f aca="false">COUNTIFS('All Cases'!$D$2:$D$323,A143,'All Cases'!$F$2:$F$323,"Other/Unknown")</f>
        <v>0</v>
      </c>
    </row>
    <row r="144" customFormat="false" ht="15" hidden="false" customHeight="false" outlineLevel="0" collapsed="false">
      <c r="A144" s="11" t="s">
        <v>617</v>
      </c>
      <c r="B144" s="11" t="n">
        <f aca="false">COUNTIF('All Cases'!$D$2:$D$323,A144)</f>
        <v>1</v>
      </c>
      <c r="C144" s="11" t="n">
        <f aca="false">COUNTIFS('All Cases'!$D$2:$D$323,A144,'All Cases'!$F$2:$F$323,"Dismissed/Withdrawn")</f>
        <v>1</v>
      </c>
      <c r="D144" s="11" t="n">
        <f aca="false">COUNTIFS('All Cases'!$D$2:$D$323,A144,'All Cases'!$F$2:$F$323,"Default Judgment")</f>
        <v>0</v>
      </c>
      <c r="E144" s="11" t="n">
        <f aca="false">COUNTIFS('All Cases'!$D$2:$D$323,A144,'All Cases'!$F$2:$F$323,"Active")</f>
        <v>0</v>
      </c>
      <c r="F144" s="11" t="n">
        <f aca="false">COUNTIFS('All Cases'!$D$2:$D$323,A144,'All Cases'!$F$2:$F$323,"Merits/Judgment")</f>
        <v>0</v>
      </c>
      <c r="G144" s="11" t="n">
        <f aca="false">COUNTIFS('All Cases'!$D$2:$D$323,A144,'All Cases'!$F$2:$F$323,"Other/Unknown")</f>
        <v>0</v>
      </c>
    </row>
    <row r="145" customFormat="false" ht="15" hidden="false" customHeight="false" outlineLevel="0" collapsed="false">
      <c r="A145" s="12" t="s">
        <v>472</v>
      </c>
      <c r="B145" s="12" t="n">
        <f aca="false">COUNTIF('All Cases'!$D$2:$D$323,A145)</f>
        <v>1</v>
      </c>
      <c r="C145" s="12" t="n">
        <f aca="false">COUNTIFS('All Cases'!$D$2:$D$323,A145,'All Cases'!$F$2:$F$323,"Dismissed/Withdrawn")</f>
        <v>1</v>
      </c>
      <c r="D145" s="12" t="n">
        <f aca="false">COUNTIFS('All Cases'!$D$2:$D$323,A145,'All Cases'!$F$2:$F$323,"Default Judgment")</f>
        <v>0</v>
      </c>
      <c r="E145" s="12" t="n">
        <f aca="false">COUNTIFS('All Cases'!$D$2:$D$323,A145,'All Cases'!$F$2:$F$323,"Active")</f>
        <v>0</v>
      </c>
      <c r="F145" s="12" t="n">
        <f aca="false">COUNTIFS('All Cases'!$D$2:$D$323,A145,'All Cases'!$F$2:$F$323,"Merits/Judgment")</f>
        <v>0</v>
      </c>
      <c r="G145" s="12" t="n">
        <f aca="false">COUNTIFS('All Cases'!$D$2:$D$323,A145,'All Cases'!$F$2:$F$323,"Other/Unknown")</f>
        <v>0</v>
      </c>
    </row>
    <row r="146" customFormat="false" ht="15" hidden="false" customHeight="false" outlineLevel="0" collapsed="false">
      <c r="A146" s="11" t="s">
        <v>1001</v>
      </c>
      <c r="B146" s="11" t="n">
        <f aca="false">COUNTIF('All Cases'!$D$2:$D$323,A146)</f>
        <v>1</v>
      </c>
      <c r="C146" s="11" t="n">
        <f aca="false">COUNTIFS('All Cases'!$D$2:$D$323,A146,'All Cases'!$F$2:$F$323,"Dismissed/Withdrawn")</f>
        <v>0</v>
      </c>
      <c r="D146" s="11" t="n">
        <f aca="false">COUNTIFS('All Cases'!$D$2:$D$323,A146,'All Cases'!$F$2:$F$323,"Default Judgment")</f>
        <v>0</v>
      </c>
      <c r="E146" s="11" t="n">
        <f aca="false">COUNTIFS('All Cases'!$D$2:$D$323,A146,'All Cases'!$F$2:$F$323,"Active")</f>
        <v>0</v>
      </c>
      <c r="F146" s="11" t="n">
        <f aca="false">COUNTIFS('All Cases'!$D$2:$D$323,A146,'All Cases'!$F$2:$F$323,"Merits/Judgment")</f>
        <v>1</v>
      </c>
      <c r="G146" s="11" t="n">
        <f aca="false">COUNTIFS('All Cases'!$D$2:$D$323,A146,'All Cases'!$F$2:$F$323,"Other/Unknown")</f>
        <v>0</v>
      </c>
    </row>
    <row r="147" customFormat="false" ht="15" hidden="false" customHeight="false" outlineLevel="0" collapsed="false">
      <c r="A147" s="12" t="s">
        <v>699</v>
      </c>
      <c r="B147" s="12" t="n">
        <f aca="false">COUNTIF('All Cases'!$D$2:$D$323,A147)</f>
        <v>1</v>
      </c>
      <c r="C147" s="12" t="n">
        <f aca="false">COUNTIFS('All Cases'!$D$2:$D$323,A147,'All Cases'!$F$2:$F$323,"Dismissed/Withdrawn")</f>
        <v>1</v>
      </c>
      <c r="D147" s="12" t="n">
        <f aca="false">COUNTIFS('All Cases'!$D$2:$D$323,A147,'All Cases'!$F$2:$F$323,"Default Judgment")</f>
        <v>0</v>
      </c>
      <c r="E147" s="12" t="n">
        <f aca="false">COUNTIFS('All Cases'!$D$2:$D$323,A147,'All Cases'!$F$2:$F$323,"Active")</f>
        <v>0</v>
      </c>
      <c r="F147" s="12" t="n">
        <f aca="false">COUNTIFS('All Cases'!$D$2:$D$323,A147,'All Cases'!$F$2:$F$323,"Merits/Judgment")</f>
        <v>0</v>
      </c>
      <c r="G147" s="12" t="n">
        <f aca="false">COUNTIFS('All Cases'!$D$2:$D$323,A147,'All Cases'!$F$2:$F$323,"Other/Unknown")</f>
        <v>0</v>
      </c>
    </row>
    <row r="148" customFormat="false" ht="15" hidden="false" customHeight="false" outlineLevel="0" collapsed="false">
      <c r="A148" s="11" t="s">
        <v>1006</v>
      </c>
      <c r="B148" s="11" t="n">
        <f aca="false">COUNTIF('All Cases'!$D$2:$D$323,A148)</f>
        <v>1</v>
      </c>
      <c r="C148" s="11" t="n">
        <f aca="false">COUNTIFS('All Cases'!$D$2:$D$323,A148,'All Cases'!$F$2:$F$323,"Dismissed/Withdrawn")</f>
        <v>1</v>
      </c>
      <c r="D148" s="11" t="n">
        <f aca="false">COUNTIFS('All Cases'!$D$2:$D$323,A148,'All Cases'!$F$2:$F$323,"Default Judgment")</f>
        <v>0</v>
      </c>
      <c r="E148" s="11" t="n">
        <f aca="false">COUNTIFS('All Cases'!$D$2:$D$323,A148,'All Cases'!$F$2:$F$323,"Active")</f>
        <v>0</v>
      </c>
      <c r="F148" s="11" t="n">
        <f aca="false">COUNTIFS('All Cases'!$D$2:$D$323,A148,'All Cases'!$F$2:$F$323,"Merits/Judgment")</f>
        <v>0</v>
      </c>
      <c r="G148" s="11" t="n">
        <f aca="false">COUNTIFS('All Cases'!$D$2:$D$323,A148,'All Cases'!$F$2:$F$323,"Other/Unknown")</f>
        <v>0</v>
      </c>
    </row>
    <row r="149" customFormat="false" ht="15" hidden="false" customHeight="false" outlineLevel="0" collapsed="false">
      <c r="A149" s="12" t="s">
        <v>1385</v>
      </c>
      <c r="B149" s="12" t="n">
        <f aca="false">COUNTIF('All Cases'!$D$2:$D$323,A149)</f>
        <v>1</v>
      </c>
      <c r="C149" s="12" t="n">
        <f aca="false">COUNTIFS('All Cases'!$D$2:$D$323,A149,'All Cases'!$F$2:$F$323,"Dismissed/Withdrawn")</f>
        <v>1</v>
      </c>
      <c r="D149" s="12" t="n">
        <f aca="false">COUNTIFS('All Cases'!$D$2:$D$323,A149,'All Cases'!$F$2:$F$323,"Default Judgment")</f>
        <v>0</v>
      </c>
      <c r="E149" s="12" t="n">
        <f aca="false">COUNTIFS('All Cases'!$D$2:$D$323,A149,'All Cases'!$F$2:$F$323,"Active")</f>
        <v>0</v>
      </c>
      <c r="F149" s="12" t="n">
        <f aca="false">COUNTIFS('All Cases'!$D$2:$D$323,A149,'All Cases'!$F$2:$F$323,"Merits/Judgment")</f>
        <v>0</v>
      </c>
      <c r="G149" s="12" t="n">
        <f aca="false">COUNTIFS('All Cases'!$D$2:$D$323,A149,'All Cases'!$F$2:$F$323,"Other/Unknown")</f>
        <v>0</v>
      </c>
    </row>
    <row r="150" customFormat="false" ht="15" hidden="false" customHeight="false" outlineLevel="0" collapsed="false">
      <c r="A150" s="11" t="s">
        <v>270</v>
      </c>
      <c r="B150" s="11" t="n">
        <f aca="false">COUNTIF('All Cases'!$D$2:$D$323,A150)</f>
        <v>1</v>
      </c>
      <c r="C150" s="11" t="n">
        <f aca="false">COUNTIFS('All Cases'!$D$2:$D$323,A150,'All Cases'!$F$2:$F$323,"Dismissed/Withdrawn")</f>
        <v>0</v>
      </c>
      <c r="D150" s="11" t="n">
        <f aca="false">COUNTIFS('All Cases'!$D$2:$D$323,A150,'All Cases'!$F$2:$F$323,"Default Judgment")</f>
        <v>0</v>
      </c>
      <c r="E150" s="11" t="n">
        <f aca="false">COUNTIFS('All Cases'!$D$2:$D$323,A150,'All Cases'!$F$2:$F$323,"Active")</f>
        <v>0</v>
      </c>
      <c r="F150" s="11" t="n">
        <f aca="false">COUNTIFS('All Cases'!$D$2:$D$323,A150,'All Cases'!$F$2:$F$323,"Merits/Judgment")</f>
        <v>0</v>
      </c>
      <c r="G150" s="11" t="n">
        <f aca="false">COUNTIFS('All Cases'!$D$2:$D$323,A150,'All Cases'!$F$2:$F$323,"Other/Unknown")</f>
        <v>1</v>
      </c>
    </row>
    <row r="151" customFormat="false" ht="15" hidden="false" customHeight="false" outlineLevel="0" collapsed="false">
      <c r="A151" s="12" t="s">
        <v>1339</v>
      </c>
      <c r="B151" s="12" t="n">
        <f aca="false">COUNTIF('All Cases'!$D$2:$D$323,A151)</f>
        <v>1</v>
      </c>
      <c r="C151" s="12" t="n">
        <f aca="false">COUNTIFS('All Cases'!$D$2:$D$323,A151,'All Cases'!$F$2:$F$323,"Dismissed/Withdrawn")</f>
        <v>0</v>
      </c>
      <c r="D151" s="12" t="n">
        <f aca="false">COUNTIFS('All Cases'!$D$2:$D$323,A151,'All Cases'!$F$2:$F$323,"Default Judgment")</f>
        <v>1</v>
      </c>
      <c r="E151" s="12" t="n">
        <f aca="false">COUNTIFS('All Cases'!$D$2:$D$323,A151,'All Cases'!$F$2:$F$323,"Active")</f>
        <v>0</v>
      </c>
      <c r="F151" s="12" t="n">
        <f aca="false">COUNTIFS('All Cases'!$D$2:$D$323,A151,'All Cases'!$F$2:$F$323,"Merits/Judgment")</f>
        <v>0</v>
      </c>
      <c r="G151" s="12" t="n">
        <f aca="false">COUNTIFS('All Cases'!$D$2:$D$323,A151,'All Cases'!$F$2:$F$323,"Other/Unknown")</f>
        <v>0</v>
      </c>
    </row>
    <row r="152" customFormat="false" ht="15" hidden="false" customHeight="false" outlineLevel="0" collapsed="false">
      <c r="A152" s="11" t="s">
        <v>1448</v>
      </c>
      <c r="B152" s="11" t="n">
        <f aca="false">COUNTIF('All Cases'!$D$2:$D$323,A152)</f>
        <v>1</v>
      </c>
      <c r="C152" s="11" t="n">
        <f aca="false">COUNTIFS('All Cases'!$D$2:$D$323,A152,'All Cases'!$F$2:$F$323,"Dismissed/Withdrawn")</f>
        <v>1</v>
      </c>
      <c r="D152" s="11" t="n">
        <f aca="false">COUNTIFS('All Cases'!$D$2:$D$323,A152,'All Cases'!$F$2:$F$323,"Default Judgment")</f>
        <v>0</v>
      </c>
      <c r="E152" s="11" t="n">
        <f aca="false">COUNTIFS('All Cases'!$D$2:$D$323,A152,'All Cases'!$F$2:$F$323,"Active")</f>
        <v>0</v>
      </c>
      <c r="F152" s="11" t="n">
        <f aca="false">COUNTIFS('All Cases'!$D$2:$D$323,A152,'All Cases'!$F$2:$F$323,"Merits/Judgment")</f>
        <v>0</v>
      </c>
      <c r="G152" s="11" t="n">
        <f aca="false">COUNTIFS('All Cases'!$D$2:$D$323,A152,'All Cases'!$F$2:$F$323,"Other/Unknown")</f>
        <v>0</v>
      </c>
    </row>
    <row r="153" customFormat="false" ht="15" hidden="false" customHeight="false" outlineLevel="0" collapsed="false">
      <c r="A153" s="12" t="s">
        <v>1148</v>
      </c>
      <c r="B153" s="12" t="n">
        <f aca="false">COUNTIF('All Cases'!$D$2:$D$323,A153)</f>
        <v>1</v>
      </c>
      <c r="C153" s="12" t="n">
        <f aca="false">COUNTIFS('All Cases'!$D$2:$D$323,A153,'All Cases'!$F$2:$F$323,"Dismissed/Withdrawn")</f>
        <v>1</v>
      </c>
      <c r="D153" s="12" t="n">
        <f aca="false">COUNTIFS('All Cases'!$D$2:$D$323,A153,'All Cases'!$F$2:$F$323,"Default Judgment")</f>
        <v>0</v>
      </c>
      <c r="E153" s="12" t="n">
        <f aca="false">COUNTIFS('All Cases'!$D$2:$D$323,A153,'All Cases'!$F$2:$F$323,"Active")</f>
        <v>0</v>
      </c>
      <c r="F153" s="12" t="n">
        <f aca="false">COUNTIFS('All Cases'!$D$2:$D$323,A153,'All Cases'!$F$2:$F$323,"Merits/Judgment")</f>
        <v>0</v>
      </c>
      <c r="G153" s="12" t="n">
        <f aca="false">COUNTIFS('All Cases'!$D$2:$D$323,A153,'All Cases'!$F$2:$F$323,"Other/Unknown")</f>
        <v>0</v>
      </c>
    </row>
    <row r="154" customFormat="false" ht="15" hidden="false" customHeight="false" outlineLevel="0" collapsed="false">
      <c r="A154" s="11" t="s">
        <v>920</v>
      </c>
      <c r="B154" s="11" t="n">
        <f aca="false">COUNTIF('All Cases'!$D$2:$D$323,A154)</f>
        <v>1</v>
      </c>
      <c r="C154" s="11" t="n">
        <f aca="false">COUNTIFS('All Cases'!$D$2:$D$323,A154,'All Cases'!$F$2:$F$323,"Dismissed/Withdrawn")</f>
        <v>0</v>
      </c>
      <c r="D154" s="11" t="n">
        <f aca="false">COUNTIFS('All Cases'!$D$2:$D$323,A154,'All Cases'!$F$2:$F$323,"Default Judgment")</f>
        <v>0</v>
      </c>
      <c r="E154" s="11" t="n">
        <f aca="false">COUNTIFS('All Cases'!$D$2:$D$323,A154,'All Cases'!$F$2:$F$323,"Active")</f>
        <v>0</v>
      </c>
      <c r="F154" s="11" t="n">
        <f aca="false">COUNTIFS('All Cases'!$D$2:$D$323,A154,'All Cases'!$F$2:$F$323,"Merits/Judgment")</f>
        <v>0</v>
      </c>
      <c r="G154" s="11" t="n">
        <f aca="false">COUNTIFS('All Cases'!$D$2:$D$323,A154,'All Cases'!$F$2:$F$323,"Other/Unknown")</f>
        <v>1</v>
      </c>
    </row>
    <row r="155" customFormat="false" ht="15" hidden="false" customHeight="false" outlineLevel="0" collapsed="false">
      <c r="A155" s="12" t="s">
        <v>198</v>
      </c>
      <c r="B155" s="12" t="n">
        <f aca="false">COUNTIF('All Cases'!$D$2:$D$323,A155)</f>
        <v>1</v>
      </c>
      <c r="C155" s="12" t="n">
        <f aca="false">COUNTIFS('All Cases'!$D$2:$D$323,A155,'All Cases'!$F$2:$F$323,"Dismissed/Withdrawn")</f>
        <v>0</v>
      </c>
      <c r="D155" s="12" t="n">
        <f aca="false">COUNTIFS('All Cases'!$D$2:$D$323,A155,'All Cases'!$F$2:$F$323,"Default Judgment")</f>
        <v>0</v>
      </c>
      <c r="E155" s="12" t="n">
        <f aca="false">COUNTIFS('All Cases'!$D$2:$D$323,A155,'All Cases'!$F$2:$F$323,"Active")</f>
        <v>0</v>
      </c>
      <c r="F155" s="12" t="n">
        <f aca="false">COUNTIFS('All Cases'!$D$2:$D$323,A155,'All Cases'!$F$2:$F$323,"Merits/Judgment")</f>
        <v>1</v>
      </c>
      <c r="G155" s="12" t="n">
        <f aca="false">COUNTIFS('All Cases'!$D$2:$D$323,A155,'All Cases'!$F$2:$F$323,"Other/Unknown")</f>
        <v>0</v>
      </c>
    </row>
    <row r="156" customFormat="false" ht="15" hidden="false" customHeight="false" outlineLevel="0" collapsed="false">
      <c r="A156" s="11" t="s">
        <v>308</v>
      </c>
      <c r="B156" s="11" t="n">
        <f aca="false">COUNTIF('All Cases'!$D$2:$D$323,A156)</f>
        <v>1</v>
      </c>
      <c r="C156" s="11" t="n">
        <f aca="false">COUNTIFS('All Cases'!$D$2:$D$323,A156,'All Cases'!$F$2:$F$323,"Dismissed/Withdrawn")</f>
        <v>1</v>
      </c>
      <c r="D156" s="11" t="n">
        <f aca="false">COUNTIFS('All Cases'!$D$2:$D$323,A156,'All Cases'!$F$2:$F$323,"Default Judgment")</f>
        <v>0</v>
      </c>
      <c r="E156" s="11" t="n">
        <f aca="false">COUNTIFS('All Cases'!$D$2:$D$323,A156,'All Cases'!$F$2:$F$323,"Active")</f>
        <v>0</v>
      </c>
      <c r="F156" s="11" t="n">
        <f aca="false">COUNTIFS('All Cases'!$D$2:$D$323,A156,'All Cases'!$F$2:$F$323,"Merits/Judgment")</f>
        <v>0</v>
      </c>
      <c r="G156" s="11" t="n">
        <f aca="false">COUNTIFS('All Cases'!$D$2:$D$323,A156,'All Cases'!$F$2:$F$323,"Other/Unknown")</f>
        <v>0</v>
      </c>
    </row>
    <row r="157" customFormat="false" ht="15" hidden="false" customHeight="false" outlineLevel="0" collapsed="false">
      <c r="A157" s="12" t="s">
        <v>141</v>
      </c>
      <c r="B157" s="12" t="n">
        <f aca="false">COUNTIF('All Cases'!$D$2:$D$323,A157)</f>
        <v>1</v>
      </c>
      <c r="C157" s="12" t="n">
        <f aca="false">COUNTIFS('All Cases'!$D$2:$D$323,A157,'All Cases'!$F$2:$F$323,"Dismissed/Withdrawn")</f>
        <v>1</v>
      </c>
      <c r="D157" s="12" t="n">
        <f aca="false">COUNTIFS('All Cases'!$D$2:$D$323,A157,'All Cases'!$F$2:$F$323,"Default Judgment")</f>
        <v>0</v>
      </c>
      <c r="E157" s="12" t="n">
        <f aca="false">COUNTIFS('All Cases'!$D$2:$D$323,A157,'All Cases'!$F$2:$F$323,"Active")</f>
        <v>0</v>
      </c>
      <c r="F157" s="12" t="n">
        <f aca="false">COUNTIFS('All Cases'!$D$2:$D$323,A157,'All Cases'!$F$2:$F$323,"Merits/Judgment")</f>
        <v>0</v>
      </c>
      <c r="G157" s="12" t="n">
        <f aca="false">COUNTIFS('All Cases'!$D$2:$D$323,A157,'All Cases'!$F$2:$F$323,"Other/Unknown")</f>
        <v>0</v>
      </c>
    </row>
    <row r="158" customFormat="false" ht="15" hidden="false" customHeight="false" outlineLevel="0" collapsed="false">
      <c r="A158" s="11" t="s">
        <v>1263</v>
      </c>
      <c r="B158" s="11" t="n">
        <f aca="false">COUNTIF('All Cases'!$D$2:$D$323,A158)</f>
        <v>1</v>
      </c>
      <c r="C158" s="11" t="n">
        <f aca="false">COUNTIFS('All Cases'!$D$2:$D$323,A158,'All Cases'!$F$2:$F$323,"Dismissed/Withdrawn")</f>
        <v>1</v>
      </c>
      <c r="D158" s="11" t="n">
        <f aca="false">COUNTIFS('All Cases'!$D$2:$D$323,A158,'All Cases'!$F$2:$F$323,"Default Judgment")</f>
        <v>0</v>
      </c>
      <c r="E158" s="11" t="n">
        <f aca="false">COUNTIFS('All Cases'!$D$2:$D$323,A158,'All Cases'!$F$2:$F$323,"Active")</f>
        <v>0</v>
      </c>
      <c r="F158" s="11" t="n">
        <f aca="false">COUNTIFS('All Cases'!$D$2:$D$323,A158,'All Cases'!$F$2:$F$323,"Merits/Judgment")</f>
        <v>0</v>
      </c>
      <c r="G158" s="11" t="n">
        <f aca="false">COUNTIFS('All Cases'!$D$2:$D$323,A158,'All Cases'!$F$2:$F$323,"Other/Unknown")</f>
        <v>0</v>
      </c>
    </row>
    <row r="159" customFormat="false" ht="15" hidden="false" customHeight="false" outlineLevel="0" collapsed="false">
      <c r="A159" s="12" t="s">
        <v>911</v>
      </c>
      <c r="B159" s="12" t="n">
        <f aca="false">COUNTIF('All Cases'!$D$2:$D$323,A159)</f>
        <v>1</v>
      </c>
      <c r="C159" s="12" t="n">
        <f aca="false">COUNTIFS('All Cases'!$D$2:$D$323,A159,'All Cases'!$F$2:$F$323,"Dismissed/Withdrawn")</f>
        <v>1</v>
      </c>
      <c r="D159" s="12" t="n">
        <f aca="false">COUNTIFS('All Cases'!$D$2:$D$323,A159,'All Cases'!$F$2:$F$323,"Default Judgment")</f>
        <v>0</v>
      </c>
      <c r="E159" s="12" t="n">
        <f aca="false">COUNTIFS('All Cases'!$D$2:$D$323,A159,'All Cases'!$F$2:$F$323,"Active")</f>
        <v>0</v>
      </c>
      <c r="F159" s="12" t="n">
        <f aca="false">COUNTIFS('All Cases'!$D$2:$D$323,A159,'All Cases'!$F$2:$F$323,"Merits/Judgment")</f>
        <v>0</v>
      </c>
      <c r="G159" s="12" t="n">
        <f aca="false">COUNTIFS('All Cases'!$D$2:$D$323,A159,'All Cases'!$F$2:$F$323,"Other/Unknown")</f>
        <v>0</v>
      </c>
    </row>
    <row r="160" customFormat="false" ht="15" hidden="false" customHeight="false" outlineLevel="0" collapsed="false">
      <c r="A160" s="11" t="s">
        <v>352</v>
      </c>
      <c r="B160" s="11" t="n">
        <f aca="false">COUNTIF('All Cases'!$D$2:$D$323,A160)</f>
        <v>1</v>
      </c>
      <c r="C160" s="11" t="n">
        <f aca="false">COUNTIFS('All Cases'!$D$2:$D$323,A160,'All Cases'!$F$2:$F$323,"Dismissed/Withdrawn")</f>
        <v>1</v>
      </c>
      <c r="D160" s="11" t="n">
        <f aca="false">COUNTIFS('All Cases'!$D$2:$D$323,A160,'All Cases'!$F$2:$F$323,"Default Judgment")</f>
        <v>0</v>
      </c>
      <c r="E160" s="11" t="n">
        <f aca="false">COUNTIFS('All Cases'!$D$2:$D$323,A160,'All Cases'!$F$2:$F$323,"Active")</f>
        <v>0</v>
      </c>
      <c r="F160" s="11" t="n">
        <f aca="false">COUNTIFS('All Cases'!$D$2:$D$323,A160,'All Cases'!$F$2:$F$323,"Merits/Judgment")</f>
        <v>0</v>
      </c>
      <c r="G160" s="11" t="n">
        <f aca="false">COUNTIFS('All Cases'!$D$2:$D$323,A160,'All Cases'!$F$2:$F$323,"Other/Unknown")</f>
        <v>0</v>
      </c>
    </row>
    <row r="161" customFormat="false" ht="15" hidden="false" customHeight="false" outlineLevel="0" collapsed="false">
      <c r="A161" s="12" t="s">
        <v>467</v>
      </c>
      <c r="B161" s="12" t="n">
        <f aca="false">COUNTIF('All Cases'!$D$2:$D$323,A161)</f>
        <v>1</v>
      </c>
      <c r="C161" s="12" t="n">
        <f aca="false">COUNTIFS('All Cases'!$D$2:$D$323,A161,'All Cases'!$F$2:$F$323,"Dismissed/Withdrawn")</f>
        <v>1</v>
      </c>
      <c r="D161" s="12" t="n">
        <f aca="false">COUNTIFS('All Cases'!$D$2:$D$323,A161,'All Cases'!$F$2:$F$323,"Default Judgment")</f>
        <v>0</v>
      </c>
      <c r="E161" s="12" t="n">
        <f aca="false">COUNTIFS('All Cases'!$D$2:$D$323,A161,'All Cases'!$F$2:$F$323,"Active")</f>
        <v>0</v>
      </c>
      <c r="F161" s="12" t="n">
        <f aca="false">COUNTIFS('All Cases'!$D$2:$D$323,A161,'All Cases'!$F$2:$F$323,"Merits/Judgment")</f>
        <v>0</v>
      </c>
      <c r="G161" s="12" t="n">
        <f aca="false">COUNTIFS('All Cases'!$D$2:$D$323,A161,'All Cases'!$F$2:$F$323,"Other/Unknown")</f>
        <v>0</v>
      </c>
    </row>
    <row r="162" customFormat="false" ht="15" hidden="false" customHeight="false" outlineLevel="0" collapsed="false">
      <c r="A162" s="11" t="s">
        <v>456</v>
      </c>
      <c r="B162" s="11" t="n">
        <f aca="false">COUNTIF('All Cases'!$D$2:$D$323,A162)</f>
        <v>1</v>
      </c>
      <c r="C162" s="11" t="n">
        <f aca="false">COUNTIFS('All Cases'!$D$2:$D$323,A162,'All Cases'!$F$2:$F$323,"Dismissed/Withdrawn")</f>
        <v>1</v>
      </c>
      <c r="D162" s="11" t="n">
        <f aca="false">COUNTIFS('All Cases'!$D$2:$D$323,A162,'All Cases'!$F$2:$F$323,"Default Judgment")</f>
        <v>0</v>
      </c>
      <c r="E162" s="11" t="n">
        <f aca="false">COUNTIFS('All Cases'!$D$2:$D$323,A162,'All Cases'!$F$2:$F$323,"Active")</f>
        <v>0</v>
      </c>
      <c r="F162" s="11" t="n">
        <f aca="false">COUNTIFS('All Cases'!$D$2:$D$323,A162,'All Cases'!$F$2:$F$323,"Merits/Judgment")</f>
        <v>0</v>
      </c>
      <c r="G162" s="11" t="n">
        <f aca="false">COUNTIFS('All Cases'!$D$2:$D$323,A162,'All Cases'!$F$2:$F$323,"Other/Unknown")</f>
        <v>0</v>
      </c>
    </row>
  </sheetData>
  <autoFilter ref="A3:G1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1574</v>
      </c>
    </row>
    <row r="3" customFormat="false" ht="15" hidden="false" customHeight="false" outlineLevel="0" collapsed="false">
      <c r="A3" s="13" t="s">
        <v>1575</v>
      </c>
      <c r="B3" s="13" t="s">
        <v>1576</v>
      </c>
    </row>
    <row r="4" customFormat="false" ht="15" hidden="false" customHeight="false" outlineLevel="0" collapsed="false">
      <c r="A4" s="2" t="s">
        <v>40</v>
      </c>
      <c r="B4" s="2" t="n">
        <f aca="false">COUNTIF('All Cases'!$E$2:$E$323,A4)</f>
        <v>170</v>
      </c>
    </row>
    <row r="5" customFormat="false" ht="15" hidden="false" customHeight="false" outlineLevel="0" collapsed="false">
      <c r="A5" s="2" t="s">
        <v>217</v>
      </c>
      <c r="B5" s="2" t="n">
        <f aca="false">COUNTIF('All Cases'!$E$2:$E$323,A5)</f>
        <v>34</v>
      </c>
    </row>
    <row r="6" customFormat="false" ht="15" hidden="false" customHeight="false" outlineLevel="0" collapsed="false">
      <c r="A6" s="2" t="s">
        <v>95</v>
      </c>
      <c r="B6" s="2" t="n">
        <f aca="false">COUNTIF('All Cases'!$E$2:$E$323,A6)</f>
        <v>31</v>
      </c>
    </row>
    <row r="7" customFormat="false" ht="15" hidden="false" customHeight="false" outlineLevel="0" collapsed="false">
      <c r="A7" s="2" t="s">
        <v>77</v>
      </c>
      <c r="B7" s="2" t="n">
        <f aca="false">COUNTIF('All Cases'!$E$2:$E$323,A7)</f>
        <v>28</v>
      </c>
    </row>
    <row r="8" customFormat="false" ht="15" hidden="false" customHeight="false" outlineLevel="0" collapsed="false">
      <c r="A8" s="2" t="s">
        <v>245</v>
      </c>
      <c r="B8" s="2" t="n">
        <f aca="false">COUNTIF('All Cases'!$E$2:$E$323,A8)</f>
        <v>11</v>
      </c>
    </row>
    <row r="9" customFormat="false" ht="15" hidden="false" customHeight="false" outlineLevel="0" collapsed="false">
      <c r="A9" s="2" t="s">
        <v>415</v>
      </c>
      <c r="B9" s="2" t="n">
        <f aca="false">COUNTIF('All Cases'!$E$2:$E$323,A9)</f>
        <v>7</v>
      </c>
    </row>
    <row r="10" customFormat="false" ht="15" hidden="false" customHeight="false" outlineLevel="0" collapsed="false">
      <c r="A10" s="2" t="s">
        <v>210</v>
      </c>
      <c r="B10" s="2" t="n">
        <f aca="false">COUNTIF('All Cases'!$E$2:$E$323,A10)</f>
        <v>6</v>
      </c>
    </row>
    <row r="11" customFormat="false" ht="15" hidden="false" customHeight="false" outlineLevel="0" collapsed="false">
      <c r="A11" s="2" t="s">
        <v>166</v>
      </c>
      <c r="B11" s="2" t="n">
        <f aca="false">COUNTIF('All Cases'!$E$2:$E$323,A11)</f>
        <v>6</v>
      </c>
    </row>
    <row r="12" customFormat="false" ht="15" hidden="false" customHeight="false" outlineLevel="0" collapsed="false">
      <c r="A12" s="2" t="s">
        <v>347</v>
      </c>
      <c r="B12" s="2" t="n">
        <f aca="false">COUNTIF('All Cases'!$E$2:$E$323,A12)</f>
        <v>6</v>
      </c>
    </row>
    <row r="13" customFormat="false" ht="15" hidden="false" customHeight="false" outlineLevel="0" collapsed="false">
      <c r="A13" s="2" t="s">
        <v>505</v>
      </c>
      <c r="B13" s="2" t="n">
        <f aca="false">COUNTIF('All Cases'!$E$2:$E$323,A13)</f>
        <v>4</v>
      </c>
    </row>
    <row r="14" customFormat="false" ht="15" hidden="false" customHeight="false" outlineLevel="0" collapsed="false">
      <c r="A14" s="2" t="s">
        <v>1040</v>
      </c>
      <c r="B14" s="2" t="n">
        <f aca="false">COUNTIF('All Cases'!$E$2:$E$323,A14)</f>
        <v>4</v>
      </c>
    </row>
    <row r="15" customFormat="false" ht="15" hidden="false" customHeight="false" outlineLevel="0" collapsed="false">
      <c r="A15" s="2" t="s">
        <v>562</v>
      </c>
      <c r="B15" s="2" t="n">
        <f aca="false">COUNTIF('All Cases'!$E$2:$E$323,A15)</f>
        <v>3</v>
      </c>
    </row>
    <row r="16" customFormat="false" ht="15" hidden="false" customHeight="false" outlineLevel="0" collapsed="false">
      <c r="A16" s="2" t="s">
        <v>723</v>
      </c>
      <c r="B16" s="2" t="n">
        <f aca="false">COUNTIF('All Cases'!$E$2:$E$323,A16)</f>
        <v>2</v>
      </c>
    </row>
    <row r="17" customFormat="false" ht="15" hidden="false" customHeight="false" outlineLevel="0" collapsed="false">
      <c r="A17" s="2" t="s">
        <v>110</v>
      </c>
      <c r="B17" s="2" t="n">
        <f aca="false">COUNTIF('All Cases'!$E$2:$E$323,A17)</f>
        <v>2</v>
      </c>
    </row>
    <row r="18" customFormat="false" ht="15" hidden="false" customHeight="false" outlineLevel="0" collapsed="false">
      <c r="A18" s="2" t="s">
        <v>850</v>
      </c>
      <c r="B18" s="2" t="n">
        <f aca="false">COUNTIF('All Cases'!$E$2:$E$323,A18)</f>
        <v>2</v>
      </c>
    </row>
    <row r="19" customFormat="false" ht="15" hidden="false" customHeight="false" outlineLevel="0" collapsed="false">
      <c r="A19" s="2" t="s">
        <v>1206</v>
      </c>
      <c r="B19" s="2" t="n">
        <f aca="false">COUNTIF('All Cases'!$E$2:$E$323,A19)</f>
        <v>1</v>
      </c>
    </row>
    <row r="20" customFormat="false" ht="15" hidden="false" customHeight="false" outlineLevel="0" collapsed="false">
      <c r="A20" s="2" t="s">
        <v>830</v>
      </c>
      <c r="B20" s="2" t="n">
        <f aca="false">COUNTIF('All Cases'!$E$2:$E$323,A20)</f>
        <v>1</v>
      </c>
    </row>
    <row r="21" customFormat="false" ht="15" hidden="false" customHeight="false" outlineLevel="0" collapsed="false">
      <c r="A21" s="2" t="s">
        <v>570</v>
      </c>
      <c r="B21" s="2" t="n">
        <f aca="false">COUNTIF('All Cases'!$E$2:$E$323,A21)</f>
        <v>1</v>
      </c>
    </row>
    <row r="22" customFormat="false" ht="15" hidden="false" customHeight="false" outlineLevel="0" collapsed="false">
      <c r="A22" s="2" t="s">
        <v>580</v>
      </c>
      <c r="B22" s="2" t="n">
        <f aca="false">COUNTIF('All Cases'!$E$2:$E$323,A22)</f>
        <v>1</v>
      </c>
    </row>
    <row r="23" customFormat="false" ht="15" hidden="false" customHeight="false" outlineLevel="0" collapsed="false">
      <c r="A23" s="2" t="s">
        <v>426</v>
      </c>
      <c r="B23" s="2" t="n">
        <f aca="false">COUNTIF('All Cases'!$E$2:$E$323,A23)</f>
        <v>1</v>
      </c>
    </row>
    <row r="24" customFormat="false" ht="15" hidden="false" customHeight="false" outlineLevel="0" collapsed="false">
      <c r="A24" s="2" t="s">
        <v>921</v>
      </c>
      <c r="B24" s="2" t="n">
        <f aca="false">COUNTIF('All Cases'!$E$2:$E$323,A24)</f>
        <v>1</v>
      </c>
    </row>
    <row r="25" customFormat="false" ht="15" hidden="false" customHeight="false" outlineLevel="0" collapsed="false">
      <c r="A25" s="14" t="s">
        <v>1577</v>
      </c>
      <c r="B25" s="14" t="n">
        <f aca="false">SUM(B4:B24)</f>
        <v>322</v>
      </c>
    </row>
    <row r="28" customFormat="false" ht="15" hidden="false" customHeight="false" outlineLevel="0" collapsed="false">
      <c r="A28" s="4" t="s">
        <v>1578</v>
      </c>
    </row>
    <row r="29" customFormat="false" ht="15" hidden="false" customHeight="false" outlineLevel="0" collapsed="false">
      <c r="A29" s="13" t="s">
        <v>1579</v>
      </c>
      <c r="B29" s="13" t="s">
        <v>1576</v>
      </c>
    </row>
    <row r="30" customFormat="false" ht="15" hidden="false" customHeight="false" outlineLevel="0" collapsed="false">
      <c r="A30" s="2" t="s">
        <v>41</v>
      </c>
      <c r="B30" s="2" t="n">
        <f aca="false">COUNTIF('All Cases'!$F$2:$F$323,A30)</f>
        <v>210</v>
      </c>
    </row>
    <row r="31" customFormat="false" ht="15" hidden="false" customHeight="false" outlineLevel="0" collapsed="false">
      <c r="A31" s="2" t="s">
        <v>77</v>
      </c>
      <c r="B31" s="2" t="n">
        <f aca="false">COUNTIF('All Cases'!$F$2:$F$323,A31)</f>
        <v>28</v>
      </c>
    </row>
    <row r="32" customFormat="false" ht="15" hidden="false" customHeight="false" outlineLevel="0" collapsed="false">
      <c r="A32" s="2" t="s">
        <v>95</v>
      </c>
      <c r="B32" s="2" t="n">
        <f aca="false">COUNTIF('All Cases'!$F$2:$F$323,A32)</f>
        <v>31</v>
      </c>
    </row>
    <row r="33" customFormat="false" ht="15" hidden="false" customHeight="false" outlineLevel="0" collapsed="false">
      <c r="A33" s="2" t="s">
        <v>111</v>
      </c>
      <c r="B33" s="2" t="n">
        <f aca="false">COUNTIF('All Cases'!$F$2:$F$323,A33)</f>
        <v>19</v>
      </c>
    </row>
    <row r="34" customFormat="false" ht="15" hidden="false" customHeight="false" outlineLevel="0" collapsed="false">
      <c r="A34" s="2" t="s">
        <v>246</v>
      </c>
      <c r="B34" s="2" t="n">
        <f aca="false">COUNTIF('All Cases'!$F$2:$F$323,A34)</f>
        <v>34</v>
      </c>
    </row>
    <row r="35" customFormat="false" ht="15" hidden="false" customHeight="false" outlineLevel="0" collapsed="false">
      <c r="A35" s="14" t="s">
        <v>1577</v>
      </c>
      <c r="B35" s="14" t="n">
        <f aca="false">SUM(B30:B34)</f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1580</v>
      </c>
    </row>
    <row r="3" customFormat="false" ht="15" hidden="false" customHeight="false" outlineLevel="0" collapsed="false">
      <c r="A3" s="14" t="s">
        <v>33</v>
      </c>
      <c r="B3" s="3" t="s">
        <v>1581</v>
      </c>
    </row>
    <row r="4" customFormat="false" ht="15" hidden="false" customHeight="false" outlineLevel="0" collapsed="false">
      <c r="A4" s="14" t="s">
        <v>28</v>
      </c>
      <c r="B4" s="3" t="s">
        <v>1582</v>
      </c>
    </row>
    <row r="5" customFormat="false" ht="15" hidden="false" customHeight="false" outlineLevel="0" collapsed="false">
      <c r="A5" s="14" t="s">
        <v>27</v>
      </c>
      <c r="B5" s="3" t="s">
        <v>1583</v>
      </c>
    </row>
    <row r="6" customFormat="false" ht="15" hidden="false" customHeight="false" outlineLevel="0" collapsed="false">
      <c r="A6" s="14" t="s">
        <v>1575</v>
      </c>
      <c r="B6" s="3" t="s">
        <v>1584</v>
      </c>
    </row>
    <row r="7" customFormat="false" ht="15" hidden="false" customHeight="false" outlineLevel="0" collapsed="false">
      <c r="A7" s="14" t="s">
        <v>1585</v>
      </c>
      <c r="B7" s="3" t="s">
        <v>1586</v>
      </c>
    </row>
    <row r="8" customFormat="false" ht="15" hidden="false" customHeight="false" outlineLevel="0" collapsed="false">
      <c r="A8" s="14" t="s">
        <v>1587</v>
      </c>
      <c r="B8" s="3" t="s">
        <v>1588</v>
      </c>
    </row>
    <row r="9" customFormat="false" ht="22.35" hidden="false" customHeight="false" outlineLevel="0" collapsed="false">
      <c r="A9" s="14" t="s">
        <v>1589</v>
      </c>
      <c r="B9" s="3" t="s">
        <v>1590</v>
      </c>
    </row>
    <row r="10" customFormat="false" ht="15" hidden="false" customHeight="false" outlineLevel="0" collapsed="false">
      <c r="A10" s="14" t="s">
        <v>1591</v>
      </c>
      <c r="B10" s="3" t="s">
        <v>1592</v>
      </c>
    </row>
    <row r="11" customFormat="false" ht="15" hidden="false" customHeight="false" outlineLevel="0" collapsed="false">
      <c r="A11" s="14" t="s">
        <v>1593</v>
      </c>
      <c r="B11" s="3" t="s">
        <v>1594</v>
      </c>
    </row>
    <row r="12" customFormat="false" ht="22.35" hidden="false" customHeight="false" outlineLevel="0" collapsed="false">
      <c r="A12" s="14" t="s">
        <v>1595</v>
      </c>
      <c r="B12" s="3" t="s">
        <v>1596</v>
      </c>
    </row>
    <row r="14" customFormat="false" ht="15" hidden="false" customHeight="false" outlineLevel="0" collapsed="false">
      <c r="A14" s="4" t="s">
        <v>1597</v>
      </c>
    </row>
    <row r="15" customFormat="false" ht="15" hidden="false" customHeight="false" outlineLevel="0" collapsed="false">
      <c r="A15" s="13" t="s">
        <v>1598</v>
      </c>
      <c r="B15" s="13" t="s">
        <v>1599</v>
      </c>
    </row>
    <row r="16" customFormat="false" ht="15" hidden="false" customHeight="false" outlineLevel="0" collapsed="false">
      <c r="A16" s="2" t="s">
        <v>1600</v>
      </c>
      <c r="B16" s="2" t="s">
        <v>1601</v>
      </c>
    </row>
    <row r="17" customFormat="false" ht="15" hidden="false" customHeight="false" outlineLevel="0" collapsed="false">
      <c r="A17" s="2" t="s">
        <v>1602</v>
      </c>
      <c r="B17" s="2" t="s">
        <v>1603</v>
      </c>
    </row>
    <row r="18" customFormat="false" ht="15" hidden="false" customHeight="false" outlineLevel="0" collapsed="false">
      <c r="A18" s="2" t="s">
        <v>1604</v>
      </c>
      <c r="B18" s="2" t="s">
        <v>1601</v>
      </c>
    </row>
    <row r="19" customFormat="false" ht="15" hidden="false" customHeight="false" outlineLevel="0" collapsed="false">
      <c r="A19" s="2" t="s">
        <v>1605</v>
      </c>
      <c r="B19" s="2" t="s">
        <v>1603</v>
      </c>
    </row>
    <row r="20" customFormat="false" ht="15" hidden="false" customHeight="false" outlineLevel="0" collapsed="false">
      <c r="A20" s="2" t="s">
        <v>1606</v>
      </c>
      <c r="B20" s="2"/>
    </row>
    <row r="21" customFormat="false" ht="15" hidden="false" customHeight="false" outlineLevel="0" collapsed="false">
      <c r="A21" s="2" t="s">
        <v>1607</v>
      </c>
      <c r="B21" s="2" t="s">
        <v>1601</v>
      </c>
    </row>
    <row r="22" customFormat="false" ht="15" hidden="false" customHeight="false" outlineLevel="0" collapsed="false">
      <c r="A22" s="2" t="s">
        <v>1608</v>
      </c>
      <c r="B22" s="2" t="s">
        <v>1601</v>
      </c>
    </row>
    <row r="23" customFormat="false" ht="15" hidden="false" customHeight="false" outlineLevel="0" collapsed="false">
      <c r="A23" s="2" t="s">
        <v>1609</v>
      </c>
      <c r="B23" s="2"/>
    </row>
    <row r="24" customFormat="false" ht="15" hidden="false" customHeight="false" outlineLevel="0" collapsed="false">
      <c r="A24" s="2" t="s">
        <v>1610</v>
      </c>
      <c r="B24" s="2" t="s">
        <v>1601</v>
      </c>
    </row>
    <row r="25" customFormat="false" ht="15" hidden="false" customHeight="false" outlineLevel="0" collapsed="false">
      <c r="A25" s="2" t="s">
        <v>1611</v>
      </c>
      <c r="B25" s="2" t="s">
        <v>1612</v>
      </c>
    </row>
    <row r="26" customFormat="false" ht="15" hidden="false" customHeight="false" outlineLevel="0" collapsed="false">
      <c r="A26" s="2" t="s">
        <v>1613</v>
      </c>
      <c r="B26" s="2" t="s">
        <v>1603</v>
      </c>
    </row>
    <row r="27" customFormat="false" ht="15" hidden="false" customHeight="false" outlineLevel="0" collapsed="false">
      <c r="A27" s="2" t="s">
        <v>1614</v>
      </c>
      <c r="B27" s="2" t="s">
        <v>1601</v>
      </c>
    </row>
    <row r="28" customFormat="false" ht="15" hidden="false" customHeight="false" outlineLevel="0" collapsed="false">
      <c r="A28" s="2" t="s">
        <v>1615</v>
      </c>
      <c r="B28" s="2" t="s">
        <v>1616</v>
      </c>
    </row>
    <row r="29" customFormat="false" ht="15" hidden="false" customHeight="false" outlineLevel="0" collapsed="false">
      <c r="A29" s="2" t="s">
        <v>1617</v>
      </c>
      <c r="B29" s="2"/>
    </row>
    <row r="30" customFormat="false" ht="15" hidden="false" customHeight="false" outlineLevel="0" collapsed="false">
      <c r="A30" s="2" t="s">
        <v>1618</v>
      </c>
      <c r="B30" s="2" t="s">
        <v>1603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2026-06-14T06:01:10Z</dcterms:created>
  <dc:creator>openpyxl</dc:creator>
  <dc:description/>
  <dc:language>en-US</dc:language>
  <cp:lastModifiedBy/>
  <dcterms:modified xsi:type="dcterms:W3CDTF">2026-06-14T06:01:10Z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